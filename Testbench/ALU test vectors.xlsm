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ubze\Downloads\6-6\alu project\"/>
    </mc:Choice>
  </mc:AlternateContent>
  <xr:revisionPtr revIDLastSave="0" documentId="13_ncr:1_{ABBC30D4-CCB5-4753-80D9-D8B55CDA97FF}" xr6:coauthVersionLast="47" xr6:coauthVersionMax="47" xr10:uidLastSave="{00000000-0000-0000-0000-000000000000}"/>
  <bookViews>
    <workbookView xWindow="-108" yWindow="-108" windowWidth="23256" windowHeight="13176" activeTab="1" xr2:uid="{15A8BCA4-D617-4B4A-B538-166220AA0FD1}"/>
  </bookViews>
  <sheets>
    <sheet name="Packet description" sheetId="4" r:id="rId1"/>
    <sheet name="Packet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6" l="1"/>
  <c r="U9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G40" i="6"/>
  <c r="C40" i="6"/>
  <c r="G39" i="6"/>
  <c r="C39" i="6"/>
  <c r="G38" i="6"/>
  <c r="C38" i="6"/>
  <c r="G37" i="6"/>
  <c r="C37" i="6"/>
  <c r="G36" i="6"/>
  <c r="C36" i="6"/>
  <c r="G35" i="6"/>
  <c r="C35" i="6"/>
  <c r="U34" i="6"/>
  <c r="O34" i="6"/>
  <c r="N34" i="6"/>
  <c r="M34" i="6"/>
  <c r="H34" i="6"/>
  <c r="G34" i="6"/>
  <c r="C34" i="6"/>
  <c r="U33" i="6"/>
  <c r="O33" i="6"/>
  <c r="N33" i="6"/>
  <c r="M33" i="6"/>
  <c r="H33" i="6"/>
  <c r="G33" i="6"/>
  <c r="C33" i="6"/>
  <c r="U32" i="6"/>
  <c r="O32" i="6"/>
  <c r="N32" i="6"/>
  <c r="M32" i="6"/>
  <c r="H32" i="6"/>
  <c r="G32" i="6"/>
  <c r="C32" i="6"/>
  <c r="O31" i="6"/>
  <c r="N31" i="6"/>
  <c r="M31" i="6"/>
  <c r="H31" i="6"/>
  <c r="G31" i="6"/>
  <c r="C31" i="6"/>
  <c r="O30" i="6"/>
  <c r="N30" i="6"/>
  <c r="M30" i="6"/>
  <c r="H30" i="6"/>
  <c r="G30" i="6"/>
  <c r="C30" i="6"/>
  <c r="O29" i="6"/>
  <c r="N29" i="6"/>
  <c r="M29" i="6"/>
  <c r="H29" i="6"/>
  <c r="G29" i="6"/>
  <c r="C29" i="6"/>
  <c r="O28" i="6"/>
  <c r="N28" i="6"/>
  <c r="M28" i="6"/>
  <c r="H28" i="6"/>
  <c r="G28" i="6"/>
  <c r="C28" i="6"/>
  <c r="M27" i="6"/>
  <c r="H27" i="6"/>
  <c r="G27" i="6"/>
  <c r="C27" i="6"/>
  <c r="O26" i="6"/>
  <c r="N26" i="6"/>
  <c r="M26" i="6"/>
  <c r="H26" i="6"/>
  <c r="G26" i="6"/>
  <c r="C26" i="6"/>
  <c r="O25" i="6"/>
  <c r="N25" i="6"/>
  <c r="M25" i="6"/>
  <c r="H25" i="6"/>
  <c r="G25" i="6"/>
  <c r="C25" i="6"/>
  <c r="O24" i="6"/>
  <c r="N24" i="6"/>
  <c r="M24" i="6"/>
  <c r="H24" i="6"/>
  <c r="G24" i="6"/>
  <c r="C24" i="6"/>
  <c r="O23" i="6"/>
  <c r="N23" i="6"/>
  <c r="M23" i="6"/>
  <c r="H23" i="6"/>
  <c r="G23" i="6"/>
  <c r="C23" i="6"/>
  <c r="O22" i="6"/>
  <c r="N22" i="6"/>
  <c r="M22" i="6"/>
  <c r="H22" i="6"/>
  <c r="G22" i="6"/>
  <c r="C22" i="6"/>
  <c r="O21" i="6"/>
  <c r="N21" i="6"/>
  <c r="M21" i="6"/>
  <c r="H21" i="6"/>
  <c r="G21" i="6"/>
  <c r="C21" i="6"/>
  <c r="O20" i="6"/>
  <c r="N20" i="6"/>
  <c r="M20" i="6"/>
  <c r="H20" i="6"/>
  <c r="G20" i="6"/>
  <c r="C20" i="6"/>
  <c r="U18" i="6"/>
  <c r="O18" i="6"/>
  <c r="N18" i="6"/>
  <c r="M18" i="6"/>
  <c r="L18" i="6"/>
  <c r="H18" i="6"/>
  <c r="G18" i="6"/>
  <c r="C18" i="6"/>
  <c r="U17" i="6"/>
  <c r="O17" i="6"/>
  <c r="N17" i="6"/>
  <c r="M17" i="6"/>
  <c r="L17" i="6"/>
  <c r="J17" i="6"/>
  <c r="H17" i="6"/>
  <c r="G17" i="6"/>
  <c r="C17" i="6"/>
  <c r="U16" i="6"/>
  <c r="O16" i="6"/>
  <c r="N16" i="6"/>
  <c r="M16" i="6"/>
  <c r="L16" i="6"/>
  <c r="J16" i="6"/>
  <c r="H16" i="6"/>
  <c r="G16" i="6"/>
  <c r="C16" i="6"/>
  <c r="U15" i="6"/>
  <c r="O15" i="6"/>
  <c r="N15" i="6"/>
  <c r="M15" i="6"/>
  <c r="L15" i="6"/>
  <c r="J15" i="6"/>
  <c r="H15" i="6"/>
  <c r="G15" i="6"/>
  <c r="C15" i="6"/>
  <c r="U14" i="6"/>
  <c r="O14" i="6"/>
  <c r="M14" i="6"/>
  <c r="L14" i="6"/>
  <c r="H14" i="6"/>
  <c r="G14" i="6"/>
  <c r="C14" i="6"/>
  <c r="U13" i="6"/>
  <c r="N13" i="6"/>
  <c r="M13" i="6"/>
  <c r="L13" i="6"/>
  <c r="H13" i="6"/>
  <c r="G13" i="6"/>
  <c r="C13" i="6"/>
  <c r="U12" i="6"/>
  <c r="O12" i="6"/>
  <c r="N12" i="6"/>
  <c r="M12" i="6"/>
  <c r="L12" i="6"/>
  <c r="J12" i="6"/>
  <c r="H12" i="6"/>
  <c r="G12" i="6"/>
  <c r="C12" i="6"/>
  <c r="U11" i="6"/>
  <c r="O11" i="6"/>
  <c r="N11" i="6"/>
  <c r="M11" i="6"/>
  <c r="L11" i="6"/>
  <c r="J11" i="6"/>
  <c r="H11" i="6"/>
  <c r="G11" i="6"/>
  <c r="C11" i="6"/>
  <c r="H10" i="6"/>
  <c r="G10" i="6"/>
  <c r="C10" i="6"/>
  <c r="H9" i="6"/>
  <c r="G9" i="6"/>
  <c r="C9" i="6"/>
  <c r="U8" i="6"/>
  <c r="O8" i="6"/>
  <c r="N8" i="6"/>
  <c r="M8" i="6"/>
  <c r="L8" i="6"/>
  <c r="J8" i="6"/>
  <c r="H8" i="6"/>
  <c r="G8" i="6"/>
  <c r="C8" i="6"/>
  <c r="U7" i="6"/>
  <c r="O7" i="6"/>
  <c r="N7" i="6"/>
  <c r="M7" i="6"/>
  <c r="L7" i="6"/>
  <c r="J7" i="6"/>
  <c r="H7" i="6"/>
  <c r="G7" i="6"/>
  <c r="C7" i="6"/>
  <c r="U6" i="6"/>
  <c r="O6" i="6"/>
  <c r="N6" i="6"/>
  <c r="M6" i="6"/>
  <c r="L6" i="6"/>
  <c r="J6" i="6"/>
  <c r="H6" i="6"/>
  <c r="G6" i="6"/>
  <c r="C6" i="6"/>
  <c r="U5" i="6"/>
  <c r="O5" i="6"/>
  <c r="N5" i="6"/>
  <c r="M5" i="6"/>
  <c r="L5" i="6"/>
  <c r="J5" i="6"/>
  <c r="H5" i="6"/>
  <c r="G5" i="6"/>
  <c r="C5" i="6"/>
  <c r="U4" i="6"/>
  <c r="O4" i="6"/>
  <c r="N4" i="6"/>
  <c r="M4" i="6"/>
  <c r="L4" i="6"/>
  <c r="J4" i="6"/>
  <c r="H4" i="6"/>
  <c r="G4" i="6"/>
  <c r="C4" i="6"/>
</calcChain>
</file>

<file path=xl/sharedStrings.xml><?xml version="1.0" encoding="utf-8"?>
<sst xmlns="http://schemas.openxmlformats.org/spreadsheetml/2006/main" count="1058" uniqueCount="350">
  <si>
    <t>Featuer ID (8-bit)</t>
  </si>
  <si>
    <t>res (2-bit)</t>
  </si>
  <si>
    <t>Mode  (1 bit)</t>
  </si>
  <si>
    <t>CMD (4-bit)</t>
  </si>
  <si>
    <t>OPA (8-bit)</t>
  </si>
  <si>
    <t>OPB (8-bit)</t>
  </si>
  <si>
    <t>CIN (1-bit)</t>
  </si>
  <si>
    <t>CE (1-bit)</t>
  </si>
  <si>
    <t>cout (1-bit)</t>
  </si>
  <si>
    <t>EGL (3-bit)</t>
  </si>
  <si>
    <t>RST  (1-bit)</t>
  </si>
  <si>
    <t>INP valid  (2-bit)</t>
  </si>
  <si>
    <t>ERR  (1-bit)</t>
  </si>
  <si>
    <t>OFLOW  (1-bit)</t>
  </si>
  <si>
    <t>Feature ID</t>
  </si>
  <si>
    <t>Test name</t>
  </si>
  <si>
    <t>Test Description</t>
  </si>
  <si>
    <t>OUTPUTS</t>
  </si>
  <si>
    <t>Logical</t>
  </si>
  <si>
    <t>AND</t>
  </si>
  <si>
    <t>NAND</t>
  </si>
  <si>
    <t>OR</t>
  </si>
  <si>
    <t>NOR</t>
  </si>
  <si>
    <t>XOR</t>
  </si>
  <si>
    <t>XNOR</t>
  </si>
  <si>
    <t>NOT A</t>
  </si>
  <si>
    <t>NOT B</t>
  </si>
  <si>
    <t>SHR A</t>
  </si>
  <si>
    <t>SHL A</t>
  </si>
  <si>
    <t>SHR B</t>
  </si>
  <si>
    <t>SHL B</t>
  </si>
  <si>
    <t>ROL</t>
  </si>
  <si>
    <t>ROR</t>
  </si>
  <si>
    <t>L_CMD out range</t>
  </si>
  <si>
    <t>67 &amp; 71</t>
  </si>
  <si>
    <t>~(67 &amp; 71)</t>
  </si>
  <si>
    <t>33 | 14</t>
  </si>
  <si>
    <t>~(33 | 14)</t>
  </si>
  <si>
    <t>123 ^ 0</t>
  </si>
  <si>
    <t>~(123 ^ 0)</t>
  </si>
  <si>
    <t>~70</t>
  </si>
  <si>
    <t>~99</t>
  </si>
  <si>
    <t>172 &gt;&gt; 1</t>
  </si>
  <si>
    <t xml:space="preserve"> 54 &lt;&lt; 1</t>
  </si>
  <si>
    <t>240 &gt;&gt; 1</t>
  </si>
  <si>
    <t>29 &lt;&lt; 1</t>
  </si>
  <si>
    <t xml:space="preserve">Checks out of range of cmd </t>
  </si>
  <si>
    <t>Arithmetic</t>
  </si>
  <si>
    <t xml:space="preserve">add </t>
  </si>
  <si>
    <t>checking functional part of add operation</t>
  </si>
  <si>
    <t>checking add operation with cin</t>
  </si>
  <si>
    <t>add_cin</t>
  </si>
  <si>
    <t>sub</t>
  </si>
  <si>
    <t>sub_cin</t>
  </si>
  <si>
    <t>checking sub function without cin</t>
  </si>
  <si>
    <t>sub function with cin</t>
  </si>
  <si>
    <t>INC_A</t>
  </si>
  <si>
    <t>INC_B</t>
  </si>
  <si>
    <t>DEC_A</t>
  </si>
  <si>
    <t>DEC_B</t>
  </si>
  <si>
    <t xml:space="preserve">Compare </t>
  </si>
  <si>
    <t>E (45 = 45)</t>
  </si>
  <si>
    <t>G  (88 &gt; 5)</t>
  </si>
  <si>
    <t>L (10 &lt; 70)</t>
  </si>
  <si>
    <t>A-130 B-3</t>
  </si>
  <si>
    <t>A-20 B-2</t>
  </si>
  <si>
    <t>A + 1  (55 + 1)</t>
  </si>
  <si>
    <t>A - 1  (55 -1)</t>
  </si>
  <si>
    <t>B + 1  (126 + 1)</t>
  </si>
  <si>
    <t>B - 1 (126 -1)</t>
  </si>
  <si>
    <t>0</t>
  </si>
  <si>
    <t>00</t>
  </si>
  <si>
    <t>000</t>
  </si>
  <si>
    <t>inc_1 and mult</t>
  </si>
  <si>
    <t>1</t>
  </si>
  <si>
    <t>11</t>
  </si>
  <si>
    <t>1001</t>
  </si>
  <si>
    <t>(A + 1) * (B + 1) =(4 + 1) * (3 + 1)</t>
  </si>
  <si>
    <t>00000100</t>
  </si>
  <si>
    <t>00000011</t>
  </si>
  <si>
    <t>(A &lt;&lt; 1) * B</t>
  </si>
  <si>
    <t>( 2 &lt;&lt; 1) * 4</t>
  </si>
  <si>
    <t>1010</t>
  </si>
  <si>
    <t>00000010</t>
  </si>
  <si>
    <t>INC_A_C</t>
  </si>
  <si>
    <t>INC_B_C</t>
  </si>
  <si>
    <t>DEC_A_OF</t>
  </si>
  <si>
    <t>DEC_B_OF</t>
  </si>
  <si>
    <t>0100</t>
  </si>
  <si>
    <t>0110</t>
  </si>
  <si>
    <t>0101</t>
  </si>
  <si>
    <t>0111</t>
  </si>
  <si>
    <t>11111111</t>
  </si>
  <si>
    <t>01</t>
  </si>
  <si>
    <t>10</t>
  </si>
  <si>
    <t>00000000</t>
  </si>
  <si>
    <t>M_CMD out range</t>
  </si>
  <si>
    <t>255 +1</t>
  </si>
  <si>
    <t>0 -1</t>
  </si>
  <si>
    <t>00100101</t>
  </si>
  <si>
    <t>1110</t>
  </si>
  <si>
    <t>2:0</t>
  </si>
  <si>
    <t>3</t>
  </si>
  <si>
    <t>4</t>
  </si>
  <si>
    <t>pass</t>
  </si>
  <si>
    <t>00110110</t>
  </si>
  <si>
    <t>11110000</t>
  </si>
  <si>
    <t>11111110</t>
  </si>
  <si>
    <t>1111111000000001</t>
  </si>
  <si>
    <t>0000</t>
  </si>
  <si>
    <t>00101000</t>
  </si>
  <si>
    <t>00101001</t>
  </si>
  <si>
    <t>add sign</t>
  </si>
  <si>
    <t>sub sign</t>
  </si>
  <si>
    <t>1011</t>
  </si>
  <si>
    <t>1100</t>
  </si>
  <si>
    <t>10000000</t>
  </si>
  <si>
    <t>001</t>
  </si>
  <si>
    <t>ce if low</t>
  </si>
  <si>
    <t>00101010</t>
  </si>
  <si>
    <t>00101011</t>
  </si>
  <si>
    <t>00101100</t>
  </si>
  <si>
    <t>1101</t>
  </si>
  <si>
    <t>10000010</t>
  </si>
  <si>
    <t>00010100</t>
  </si>
  <si>
    <t>01001010</t>
  </si>
  <si>
    <t>ROL err</t>
  </si>
  <si>
    <t>ROR err</t>
  </si>
  <si>
    <t>00101111</t>
  </si>
  <si>
    <t>01010101</t>
  </si>
  <si>
    <t>10101010</t>
  </si>
  <si>
    <t>00101101</t>
  </si>
  <si>
    <t>rst is high</t>
  </si>
  <si>
    <t>input valid is 0</t>
  </si>
  <si>
    <t>00101110</t>
  </si>
  <si>
    <t>01111111</t>
  </si>
  <si>
    <t>input valid default</t>
  </si>
  <si>
    <t>1x</t>
  </si>
  <si>
    <t>rst</t>
  </si>
  <si>
    <t>00110000</t>
  </si>
  <si>
    <t>00000001</t>
  </si>
  <si>
    <t>00110001</t>
  </si>
  <si>
    <t>00110010</t>
  </si>
  <si>
    <t>CASE 2</t>
  </si>
  <si>
    <t>CASE 3</t>
  </si>
  <si>
    <t>CASE 4</t>
  </si>
  <si>
    <t>OFLOW_1</t>
  </si>
  <si>
    <t>OFLOW_2</t>
  </si>
  <si>
    <t>00001000</t>
  </si>
  <si>
    <t>010</t>
  </si>
  <si>
    <t>11111100</t>
  </si>
  <si>
    <t>00110011</t>
  </si>
  <si>
    <t>00110100</t>
  </si>
  <si>
    <t>00110101</t>
  </si>
  <si>
    <t>00110111</t>
  </si>
  <si>
    <t>00111000</t>
  </si>
  <si>
    <t>00111001</t>
  </si>
  <si>
    <t>00111010</t>
  </si>
  <si>
    <t>00111011</t>
  </si>
  <si>
    <t>00111100</t>
  </si>
  <si>
    <t>11111101</t>
  </si>
  <si>
    <t>100</t>
  </si>
  <si>
    <t>00111101</t>
  </si>
  <si>
    <t>00111110</t>
  </si>
  <si>
    <t>00111111</t>
  </si>
  <si>
    <t>01000000</t>
  </si>
  <si>
    <t>01000001</t>
  </si>
  <si>
    <t>01000010</t>
  </si>
  <si>
    <t xml:space="preserve">SP_1 </t>
  </si>
  <si>
    <t>CASE 1</t>
  </si>
  <si>
    <t xml:space="preserve">SP_2 </t>
  </si>
  <si>
    <t>01000011</t>
  </si>
  <si>
    <t>0011</t>
  </si>
  <si>
    <t>01000100</t>
  </si>
  <si>
    <t>01000101</t>
  </si>
  <si>
    <t>01000110</t>
  </si>
  <si>
    <t>00000110</t>
  </si>
  <si>
    <t>01001000</t>
  </si>
  <si>
    <t>RES (16-bit)</t>
  </si>
  <si>
    <t>00000001_00_0_11_1_0_0000_01000011_01000111_0_0_0000000001000011_0_0_000</t>
  </si>
  <si>
    <t>00000010_00_0_11_1_0_0001_01000011_01000111_0_0_0000000010111100_0_0_000</t>
  </si>
  <si>
    <t>00000011_00_0_11_1_0_0010_00100001_00001110_0_0_0000000000101111_0_0_000</t>
  </si>
  <si>
    <t>00000100_00_0_11_1_0_0011_00100001_00001110_0_0_0000000011010000_0_0_000</t>
  </si>
  <si>
    <t>00000101_00_0_11_1_0_0100_01111011_00000000_0_0_0000000001111011_0_0_000</t>
  </si>
  <si>
    <t>00001000_00_0_10_1_0_0111_00000000_01100011_0_0_0000000010011100_0_0_000</t>
  </si>
  <si>
    <t>00001001_00_0_01_1_0_1000_10101100_00000000_0_0_0000000001010110_0_0_000</t>
  </si>
  <si>
    <t>00001010_00_0_11_1_0_1001_00110110_00110110_0_0_0000000001101100_0_0_000</t>
  </si>
  <si>
    <t>00001011_00_0_11_1_0_1010_11110000_11110000_0_0_0000000001111000_0_0_000</t>
  </si>
  <si>
    <t>00001100_00_0_10_1_0_1011_00000000_00011101_0_0_0000000000111010_0_0_000</t>
  </si>
  <si>
    <t>00001101_00_0_11_1_0_1100_10000010_00000011_0_0_0000000000010100_0_0_000</t>
  </si>
  <si>
    <t>00001110_00_0_11_1_0_1101_00010100_00000010_0_0_0000000000000101_0_0_000</t>
  </si>
  <si>
    <t>00001111_00_0_00_1_0_1111_00000000_00000000_0_1_0000000000000000_0_0_000</t>
  </si>
  <si>
    <t>00010000_00_0_11_1_1_0000_11111111_00000001_0_0_0000000100000000_0_1_000</t>
  </si>
  <si>
    <t>00010001_00_0_11_1_1_0000_10101010_01010101_0_0_0000000011111111_0_0_000</t>
  </si>
  <si>
    <t>00010010_00_0_11_1_1_0010_11111101_00000101_1_0_0000000100000011_0_1_000</t>
  </si>
  <si>
    <t>00010011_00_0_11_1_1_0010_00001111_00010000_1_0_0000000000100000_0_0_000</t>
  </si>
  <si>
    <t>00010100_00_0_11_1_1_0001_10101010_01010101_0_0_0000000001010101_0_0_000</t>
  </si>
  <si>
    <t>00010101_00_0_11_1_1_0001_01010101_10101010_0_0_0000000110101011_1_0_000</t>
  </si>
  <si>
    <t>00010110_00_0_11_1_1_0011_10101010_01010101_1_0_0000000001010100_0_0_000</t>
  </si>
  <si>
    <t>00010111_00_0_11_1_1_0011_01010101_10101010_1_0_0000000110101010_1_0_000</t>
  </si>
  <si>
    <t>00011000_00_0_01_1_1_0100_00110111_00000000_1_0_0000000000111000_0_0_000</t>
  </si>
  <si>
    <t>00011001_00_0_10_1_1_0110_00000000_01111110_1_0_0000000001111111_0_0_000</t>
  </si>
  <si>
    <t>00011010_00_0_01_1_1_0101_00110111_00000000_1_0_0000000000110110_0_0_000</t>
  </si>
  <si>
    <t>00011011_00_0_10_1_1_0111_00000000_01111110_1_0_0000000001111101_0_0_000</t>
  </si>
  <si>
    <t>00011100_00_0_11_1_1_1000_00101101_00101101_0_0_0000000000000000_0_0_100</t>
  </si>
  <si>
    <t>00011101_00_0_11_1_1_1000_01011000_00000101_0_0_0000000000000000_0_0_010</t>
  </si>
  <si>
    <t>00011110_00_0_11_1_1_1000_00001010_01000110_0_0_0000000000000000_0_0_001</t>
  </si>
  <si>
    <t>00011111_00_0_11_1_1_1001_00000100_00000011_0_0_0000000000010100_0_0_000</t>
  </si>
  <si>
    <t>00100000_00_0_11_1_1_1010_00000010_00000100_0_0_0000000000010000_0_0_000</t>
  </si>
  <si>
    <t>00100001_00_0_01_1_1_0100_11111111_00000000_0_0_0000000100000000_0_1_000</t>
  </si>
  <si>
    <t>00100010_00_0_10_1_1_0110_00000000_11111111_0_0_0000000100000000_0_1_000</t>
  </si>
  <si>
    <t>00100011_00_0_01_1_1_0101_00000000_00000000_0_0_0000000111111111_1_0_000</t>
  </si>
  <si>
    <t>00100100_00_0_10_1_1_0111_00000000_00000000_0_0_0000000111111111_1_0_000</t>
  </si>
  <si>
    <t>00100101_00_0_00_1_1_1110_00000000_00000000_0_1_0000000000000000_0_0_000</t>
  </si>
  <si>
    <t>0000000001000011</t>
  </si>
  <si>
    <t>0000000010111100</t>
  </si>
  <si>
    <t>0000000000101111</t>
  </si>
  <si>
    <t>0000000011010000</t>
  </si>
  <si>
    <t>0000000001111011</t>
  </si>
  <si>
    <t>0000000100000000</t>
  </si>
  <si>
    <t>0000000000000000</t>
  </si>
  <si>
    <t>0000000000000101</t>
  </si>
  <si>
    <t>0000000000010100</t>
  </si>
  <si>
    <t>0000000000111010</t>
  </si>
  <si>
    <t>0000000001111000</t>
  </si>
  <si>
    <t>0000000001101100</t>
  </si>
  <si>
    <t>0000000001010110</t>
  </si>
  <si>
    <t>0000000010011100</t>
  </si>
  <si>
    <t>0000000011111111</t>
  </si>
  <si>
    <t>0000000100000011</t>
  </si>
  <si>
    <t>0000000000100000</t>
  </si>
  <si>
    <t>0000000001010101</t>
  </si>
  <si>
    <t>0000000110101011</t>
  </si>
  <si>
    <t>0000000001010100</t>
  </si>
  <si>
    <t>0000000110101010</t>
  </si>
  <si>
    <t>0000000000111000</t>
  </si>
  <si>
    <t>0000000001111111</t>
  </si>
  <si>
    <t>0000000000110110</t>
  </si>
  <si>
    <t>0000000001111101</t>
  </si>
  <si>
    <t>0000000000010000</t>
  </si>
  <si>
    <t>0000000111111111</t>
  </si>
  <si>
    <t>00101000_00_0_11_1_1_1011_10000000_11111110_0_0_0000000101111110_1_1_001</t>
  </si>
  <si>
    <t>00101001_00_0_11_1_1_1100_10000000_11111110_0_0_0000000110000010_0_1_001</t>
  </si>
  <si>
    <t>00101010_00_0_00_0_0_0000_00000000_00000000_0_0_0000000000000000_0_0_000</t>
  </si>
  <si>
    <t>00101011_00_0_11_1_0_1100_10000010_01001010_0_1_0000000000001010_0_0_000</t>
  </si>
  <si>
    <t>00101100_00_0_11_1_0_1101_00010100_01001010_0_1_0000000000000101_0_0_000</t>
  </si>
  <si>
    <t>00101101_00_1_10_1_1_0000_11111111_11111111_0_0_0000000000000000_0_0_000</t>
  </si>
  <si>
    <t>00101110_00_0_00_1_0_0000_01111111_10000000_0_0_0000000000000000_0_0_000</t>
  </si>
  <si>
    <t>00101111_00_0_1x_1_1_0000_00000000_00000000_0_1_0000000000000000_0_0_000</t>
  </si>
  <si>
    <t>00110000_00_1_00_1_0_1010_00000001_00000001_0_0_0000000000000000_0_0_000</t>
  </si>
  <si>
    <t>00110001_00_0_11_1_1_1011_00001000_00000100_0_0_0000000000001100_0_0_010</t>
  </si>
  <si>
    <t>00110010_00_0_11_1_1_1011_00000011_11111100_0_0_0000000111111111_0_1_010</t>
  </si>
  <si>
    <t>00110011_00_0_11_1_1_1011_11111100_00000011_0_0_0000000111111111_0_1_001</t>
  </si>
  <si>
    <t>00110100_00_0_11_1_1_1011_11111100_11111101_0_0_0000000111111001_0_1_001</t>
  </si>
  <si>
    <t>00110101_00_0_11_1_1_1011_01111111_00000001_0_0_0000000010000000_1_0_010</t>
  </si>
  <si>
    <t>00110110_00_0_11_1_1_1011_10000000_10000000_0_0_0000000100000000_1_1_100</t>
  </si>
  <si>
    <t>00110111_00_0_11_1_1_1100_00001000_00000100_0_0_0000000000000100_0_0_010</t>
  </si>
  <si>
    <t>00111000_00_0_11_1_1_1100_00000011_11111100_0_0_0000000000000111_0_0_010</t>
  </si>
  <si>
    <t>00111001_00_0_11_1_1_1100_11111100_00000011_0_0_0000000111111001_0_1_001</t>
  </si>
  <si>
    <t>00111010_00_0_11_1_1_1100_11111100_11111101_0_0_0000000111111111_0_1_001</t>
  </si>
  <si>
    <t>00111011_00_0_11_1_1_1100_01111111_11111111_0_0_0000000010000000_1_0_010</t>
  </si>
  <si>
    <t>00111100_00_0_11_1_1_1100_10000000_01111111_0_0_0000000100000001_1_1_001</t>
  </si>
  <si>
    <t>01000011_00_0_11_1_1_0011_00000000_00000000_0_0_0000000000000000_0_0_000</t>
  </si>
  <si>
    <t>01000100_00_0_11_1_1_0011_00000000_00000000_1_0_0000000111111111_1_0_000</t>
  </si>
  <si>
    <t>0000000110000000</t>
  </si>
  <si>
    <t>0000000100000001</t>
  </si>
  <si>
    <t>0000000010000000</t>
  </si>
  <si>
    <t>0000000111111001</t>
  </si>
  <si>
    <t>0000000000000111</t>
  </si>
  <si>
    <t>0000000000000100</t>
  </si>
  <si>
    <t>0000000000001100</t>
  </si>
  <si>
    <t>0000000000001010</t>
  </si>
  <si>
    <t>0000000110000010</t>
  </si>
  <si>
    <t>0000000101111110</t>
  </si>
  <si>
    <t>01000111</t>
  </si>
  <si>
    <t>01000111_00_0_11_1_1_1100_01000000_01000001_0_0_0000000111111111_0_1_001</t>
  </si>
  <si>
    <t>01000110_00_0_11_1_1_1100_00000000_00000000_0_0_0000000000000000_0_0_100</t>
  </si>
  <si>
    <t>01000101_00_0_11_1_1_1100_10000000_00000000_0_0_0000000110000000_0_1_001</t>
  </si>
  <si>
    <t>00111101_00_0_11_1_1_1001_11111110_11111110_0_0_1111111000000001_0_0_000</t>
  </si>
  <si>
    <t>00111110_00_0_11_1_1_0011_00000000_00000000_0_0_0000000000000000_0_0_000</t>
  </si>
  <si>
    <t>00111111_00_0_11_1_1_0011_00000000_00000000_1_0_0000000111111111_1_0_000</t>
  </si>
  <si>
    <t>01000000_00_0_11_1_1_1001_00000110_01001000_0_0_0000000111111111_0_0_000</t>
  </si>
  <si>
    <t>01000001_00_0_11_1_1_1011_00000000_00000000_0_0_0000000000000000_0_0_100</t>
  </si>
  <si>
    <t>01000010_00_0_11_1_1_1100_00000000_00000000_0_0_0000000000000000_0_0_100</t>
  </si>
  <si>
    <t>Status</t>
  </si>
  <si>
    <t>check for active high reset</t>
  </si>
  <si>
    <t>check invalid I/P vaild signal</t>
  </si>
  <si>
    <t>default for I/P valid check</t>
  </si>
  <si>
    <t>reser is high check</t>
  </si>
  <si>
    <t>check error condition for ROR</t>
  </si>
  <si>
    <t>check error condition for ROL</t>
  </si>
  <si>
    <t xml:space="preserve">Check Clock enable low </t>
  </si>
  <si>
    <t>check signed addition</t>
  </si>
  <si>
    <t>sig sub</t>
  </si>
  <si>
    <t>sig add</t>
  </si>
  <si>
    <t>add mult</t>
  </si>
  <si>
    <t>20:5</t>
  </si>
  <si>
    <t>49:48</t>
  </si>
  <si>
    <t>57:50</t>
  </si>
  <si>
    <t>46:45</t>
  </si>
  <si>
    <t>42:39</t>
  </si>
  <si>
    <t>30:23</t>
  </si>
  <si>
    <t>38:31</t>
  </si>
  <si>
    <t>PACKET FORMAT</t>
  </si>
  <si>
    <t>No. of Bits</t>
  </si>
  <si>
    <t>Width</t>
  </si>
  <si>
    <t xml:space="preserve">Featuer ID </t>
  </si>
  <si>
    <t>EGL</t>
  </si>
  <si>
    <t xml:space="preserve">cout </t>
  </si>
  <si>
    <t xml:space="preserve">OFLOW </t>
  </si>
  <si>
    <t xml:space="preserve">RES </t>
  </si>
  <si>
    <t xml:space="preserve">ERR </t>
  </si>
  <si>
    <t>CIN</t>
  </si>
  <si>
    <t xml:space="preserve">OPB </t>
  </si>
  <si>
    <t xml:space="preserve">OPA </t>
  </si>
  <si>
    <t>CMD</t>
  </si>
  <si>
    <t xml:space="preserve">Mode </t>
  </si>
  <si>
    <t xml:space="preserve">CE </t>
  </si>
  <si>
    <t xml:space="preserve">INP valid </t>
  </si>
  <si>
    <t xml:space="preserve">RST  </t>
  </si>
  <si>
    <t>res</t>
  </si>
  <si>
    <t>Stimulus Packet</t>
  </si>
  <si>
    <t>Total</t>
  </si>
  <si>
    <t>RESP_EGL</t>
  </si>
  <si>
    <t>RESP_cout</t>
  </si>
  <si>
    <t>RESP_oflow</t>
  </si>
  <si>
    <t>RESP_res</t>
  </si>
  <si>
    <t>RESP_err</t>
  </si>
  <si>
    <t>72:70</t>
  </si>
  <si>
    <t>67:59</t>
  </si>
  <si>
    <t>Response packet</t>
  </si>
  <si>
    <t>00000110_00_0_11_1_0_0101_01111011_00000000_0_0_0000000010000100_0_0_000</t>
  </si>
  <si>
    <t>00000111_00_0_01_1_0_0110_01000110_00000000_0_0_0000000010111001_0_0_000</t>
  </si>
  <si>
    <t>01111011</t>
  </si>
  <si>
    <t>0000000010000100</t>
  </si>
  <si>
    <t>0000000010111001</t>
  </si>
  <si>
    <t>INPUTS</t>
  </si>
  <si>
    <t>ALU Block Diagram</t>
  </si>
  <si>
    <t>ALU Inner Structure</t>
  </si>
  <si>
    <t>52</t>
  </si>
  <si>
    <t>53</t>
  </si>
  <si>
    <t>54</t>
  </si>
  <si>
    <t>55</t>
  </si>
  <si>
    <t>MSB coverage</t>
  </si>
  <si>
    <t>All zero input</t>
  </si>
  <si>
    <t>zero and oflow chech with cin = 1</t>
  </si>
  <si>
    <t>LSB coverage</t>
  </si>
  <si>
    <t>All zero coverage</t>
  </si>
  <si>
    <t>Test coverage</t>
  </si>
  <si>
    <t>random test coverage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</si>
</sst>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49" fontId="0" fillId="3" borderId="0" xfId="0" applyNumberFormat="1" applyFill="1" applyAlignment="1">
      <alignment horizontal="center"/>
    </xf>
    <xf numFmtId="49" fontId="0" fillId="4" borderId="0" xfId="0" applyNumberFormat="1" applyFill="1" applyAlignment="1">
      <alignment horizontal="center"/>
    </xf>
    <xf numFmtId="0" fontId="0" fillId="6" borderId="0" xfId="0" applyFill="1"/>
    <xf numFmtId="49" fontId="0" fillId="0" borderId="0" xfId="0" applyNumberFormat="1"/>
    <xf numFmtId="49" fontId="0" fillId="6" borderId="0" xfId="0" applyNumberFormat="1" applyFill="1"/>
    <xf numFmtId="49" fontId="0" fillId="9" borderId="0" xfId="0" applyNumberFormat="1" applyFill="1"/>
    <xf numFmtId="49" fontId="0" fillId="0" borderId="0" xfId="0" applyNumberFormat="1" applyAlignment="1">
      <alignment horizontal="center" vertical="center"/>
    </xf>
    <xf numFmtId="0" fontId="0" fillId="10" borderId="0" xfId="0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4" borderId="0" xfId="0" applyFill="1"/>
    <xf numFmtId="49" fontId="0" fillId="12" borderId="0" xfId="0" applyNumberForma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49" fontId="0" fillId="12" borderId="0" xfId="0" applyNumberFormat="1" applyFill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6" borderId="0" xfId="0" applyNumberFormat="1" applyFill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2" borderId="0" xfId="0" applyNumberFormat="1" applyFill="1" applyAlignment="1">
      <alignment horizontal="center"/>
    </xf>
    <xf numFmtId="0" fontId="4" fillId="0" borderId="0" xfId="0" applyFont="1" applyAlignment="1">
      <alignment vertical="center"/>
    </xf>
    <xf numFmtId="0" fontId="3" fillId="11" borderId="0" xfId="0" applyFont="1" applyFill="1" applyAlignment="1">
      <alignment horizontal="left"/>
    </xf>
    <xf numFmtId="0" fontId="2" fillId="13" borderId="0" xfId="0" applyFont="1" applyFill="1" applyAlignment="1">
      <alignment horizontal="left"/>
    </xf>
    <xf numFmtId="0" fontId="4" fillId="15" borderId="0" xfId="0" applyFont="1" applyFill="1" applyAlignment="1">
      <alignment horizontal="center" vertical="center"/>
    </xf>
    <xf numFmtId="49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14" borderId="0" xfId="0" applyNumberFormat="1" applyFill="1" applyAlignment="1">
      <alignment horizontal="center"/>
    </xf>
    <xf numFmtId="49" fontId="0" fillId="6" borderId="0" xfId="0" applyNumberFormat="1" applyFill="1" applyAlignment="1">
      <alignment horizontal="center" vertical="center"/>
    </xf>
    <xf numFmtId="49" fontId="0" fillId="16" borderId="0" xfId="0" applyNumberFormat="1" applyFill="1"/>
    <xf numFmtId="49" fontId="0" fillId="16" borderId="0" xfId="0" applyNumberFormat="1" applyFill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17929</xdr:colOff>
      <xdr:row>15</xdr:row>
      <xdr:rowOff>17929</xdr:rowOff>
    </xdr:from>
    <xdr:to>
      <xdr:col>6</xdr:col>
      <xdr:colOff>8963</xdr:colOff>
      <xdr:row>31</xdr:row>
      <xdr:rowOff>89646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10636A5-637C-C123-0691-D655FC313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29" y="3648635"/>
          <a:ext cx="3783105" cy="294042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1</xdr:rowOff>
    </xdr:from>
    <xdr:to>
      <xdr:col>17</xdr:col>
      <xdr:colOff>484094</xdr:colOff>
      <xdr:row>36</xdr:row>
      <xdr:rowOff>8967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DC72FB2-595F-FAE7-30CE-F92B1AA4F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1953" y="3720354"/>
          <a:ext cx="5880847" cy="37741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742C-7E47-4036-9D59-9F2B3ACD67A8}">
  <sheetPr codeName="Sheet4">
    <tabColor theme="8" tint="0.39997558519241921"/>
  </sheetPr>
  <dimension ref="B4:W16"/>
  <sheetViews>
    <sheetView topLeftCell="A5" zoomScale="85" zoomScaleNormal="85" workbookViewId="0">
      <selection activeCell="U21" sqref="U21"/>
    </sheetView>
  </sheetViews>
  <sheetFormatPr defaultRowHeight="14.4" x14ac:dyDescent="0.3"/>
  <cols>
    <col min="2" max="2" width="14.44140625" customWidth="1"/>
    <col min="3" max="3" width="10.44140625" customWidth="1"/>
    <col min="4" max="4" width="10.109375" customWidth="1"/>
    <col min="5" max="5" width="10.88671875" customWidth="1"/>
    <col min="6" max="6" width="9.44140625" customWidth="1"/>
    <col min="7" max="7" width="10" customWidth="1"/>
    <col min="8" max="8" width="10.33203125" customWidth="1"/>
    <col min="9" max="9" width="7.33203125" customWidth="1"/>
    <col min="10" max="10" width="7.6640625" customWidth="1"/>
    <col min="11" max="11" width="10" customWidth="1"/>
    <col min="12" max="12" width="5.33203125" customWidth="1"/>
    <col min="13" max="13" width="7.44140625" customWidth="1"/>
    <col min="14" max="14" width="7.77734375" customWidth="1"/>
    <col min="15" max="15" width="9.109375" customWidth="1"/>
    <col min="16" max="16" width="7.109375" customWidth="1"/>
    <col min="17" max="17" width="6.44140625" customWidth="1"/>
    <col min="18" max="18" width="7.21875" customWidth="1"/>
    <col min="19" max="19" width="6.44140625" customWidth="1"/>
    <col min="20" max="20" width="7.77734375" customWidth="1"/>
    <col min="21" max="21" width="7.109375" customWidth="1"/>
    <col min="22" max="22" width="6.44140625" customWidth="1"/>
    <col min="23" max="23" width="7.6640625" customWidth="1"/>
  </cols>
  <sheetData>
    <row r="4" spans="2:23" ht="23.4" x14ac:dyDescent="0.45">
      <c r="B4" s="22" t="s">
        <v>321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</row>
    <row r="5" spans="2:23" ht="28.8" x14ac:dyDescent="0.3">
      <c r="B5" s="8" t="s">
        <v>303</v>
      </c>
      <c r="C5" s="9" t="s">
        <v>306</v>
      </c>
      <c r="D5" s="9" t="s">
        <v>320</v>
      </c>
      <c r="E5" s="10" t="s">
        <v>319</v>
      </c>
      <c r="F5" s="10" t="s">
        <v>318</v>
      </c>
      <c r="G5" s="10" t="s">
        <v>317</v>
      </c>
      <c r="H5" s="10" t="s">
        <v>316</v>
      </c>
      <c r="I5" s="10" t="s">
        <v>315</v>
      </c>
      <c r="J5" s="10" t="s">
        <v>314</v>
      </c>
      <c r="K5" s="10" t="s">
        <v>313</v>
      </c>
      <c r="L5" s="10" t="s">
        <v>312</v>
      </c>
      <c r="M5" s="11" t="s">
        <v>311</v>
      </c>
      <c r="N5" s="11" t="s">
        <v>310</v>
      </c>
      <c r="O5" s="11" t="s">
        <v>309</v>
      </c>
      <c r="P5" s="11" t="s">
        <v>308</v>
      </c>
      <c r="Q5" s="11" t="s">
        <v>307</v>
      </c>
      <c r="R5" s="12"/>
      <c r="S5" s="12"/>
      <c r="T5" s="12"/>
      <c r="U5" s="12"/>
      <c r="V5" s="12"/>
      <c r="W5" s="13" t="s">
        <v>322</v>
      </c>
    </row>
    <row r="6" spans="2:23" x14ac:dyDescent="0.3">
      <c r="B6" s="17" t="s">
        <v>304</v>
      </c>
      <c r="C6" s="17">
        <v>8</v>
      </c>
      <c r="D6" s="17">
        <v>2</v>
      </c>
      <c r="E6" s="17">
        <v>1</v>
      </c>
      <c r="F6" s="17">
        <v>2</v>
      </c>
      <c r="G6" s="17">
        <v>1</v>
      </c>
      <c r="H6" s="17">
        <v>1</v>
      </c>
      <c r="I6" s="17">
        <v>4</v>
      </c>
      <c r="J6" s="17">
        <v>8</v>
      </c>
      <c r="K6" s="17">
        <v>8</v>
      </c>
      <c r="L6" s="17">
        <v>1</v>
      </c>
      <c r="M6" s="17">
        <v>1</v>
      </c>
      <c r="N6" s="17">
        <v>16</v>
      </c>
      <c r="O6" s="17">
        <v>1</v>
      </c>
      <c r="P6" s="17">
        <v>1</v>
      </c>
      <c r="Q6" s="17">
        <v>3</v>
      </c>
      <c r="R6" s="3"/>
      <c r="S6" s="3"/>
      <c r="T6" s="3"/>
      <c r="U6" s="3"/>
      <c r="V6" s="3"/>
      <c r="W6" s="14">
        <v>58</v>
      </c>
    </row>
    <row r="7" spans="2:23" s="4" customFormat="1" x14ac:dyDescent="0.3">
      <c r="B7" s="18" t="s">
        <v>305</v>
      </c>
      <c r="C7" s="18" t="s">
        <v>298</v>
      </c>
      <c r="D7" s="18" t="s">
        <v>297</v>
      </c>
      <c r="E7" s="18">
        <v>47</v>
      </c>
      <c r="F7" s="18" t="s">
        <v>299</v>
      </c>
      <c r="G7" s="18">
        <v>44</v>
      </c>
      <c r="H7" s="18">
        <v>43</v>
      </c>
      <c r="I7" s="18" t="s">
        <v>300</v>
      </c>
      <c r="J7" s="18" t="s">
        <v>302</v>
      </c>
      <c r="K7" s="18" t="s">
        <v>301</v>
      </c>
      <c r="L7" s="18">
        <v>22</v>
      </c>
      <c r="M7" s="18">
        <v>21</v>
      </c>
      <c r="N7" s="18" t="s">
        <v>296</v>
      </c>
      <c r="O7" s="18" t="s">
        <v>103</v>
      </c>
      <c r="P7" s="18" t="s">
        <v>102</v>
      </c>
      <c r="Q7" s="18" t="s">
        <v>101</v>
      </c>
      <c r="R7" s="5"/>
      <c r="S7" s="5"/>
      <c r="T7" s="5"/>
      <c r="U7" s="5"/>
      <c r="V7" s="5"/>
      <c r="W7" s="15"/>
    </row>
    <row r="9" spans="2:23" ht="21" x14ac:dyDescent="0.4">
      <c r="B9" s="23" t="s">
        <v>330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2:23" ht="28.8" x14ac:dyDescent="0.3">
      <c r="B10" s="8" t="s">
        <v>303</v>
      </c>
      <c r="C10" s="16" t="s">
        <v>323</v>
      </c>
      <c r="D10" s="16" t="s">
        <v>324</v>
      </c>
      <c r="E10" s="16" t="s">
        <v>325</v>
      </c>
      <c r="F10" s="16" t="s">
        <v>326</v>
      </c>
      <c r="G10" s="16" t="s">
        <v>327</v>
      </c>
      <c r="H10" s="9" t="s">
        <v>306</v>
      </c>
      <c r="I10" s="9" t="s">
        <v>320</v>
      </c>
      <c r="J10" s="10" t="s">
        <v>319</v>
      </c>
      <c r="K10" s="10" t="s">
        <v>318</v>
      </c>
      <c r="L10" s="10" t="s">
        <v>317</v>
      </c>
      <c r="M10" s="10" t="s">
        <v>316</v>
      </c>
      <c r="N10" s="10" t="s">
        <v>315</v>
      </c>
      <c r="O10" s="10" t="s">
        <v>314</v>
      </c>
      <c r="P10" s="10" t="s">
        <v>313</v>
      </c>
      <c r="Q10" s="10" t="s">
        <v>312</v>
      </c>
      <c r="R10" s="11" t="s">
        <v>311</v>
      </c>
      <c r="S10" s="11" t="s">
        <v>310</v>
      </c>
      <c r="T10" s="11" t="s">
        <v>309</v>
      </c>
      <c r="U10" s="11" t="s">
        <v>308</v>
      </c>
      <c r="V10" s="11" t="s">
        <v>307</v>
      </c>
      <c r="W10" s="13" t="s">
        <v>322</v>
      </c>
    </row>
    <row r="11" spans="2:23" x14ac:dyDescent="0.3">
      <c r="B11" s="17" t="s">
        <v>304</v>
      </c>
      <c r="C11" s="18">
        <v>3</v>
      </c>
      <c r="D11" s="18">
        <v>1</v>
      </c>
      <c r="E11" s="18">
        <v>1</v>
      </c>
      <c r="F11" s="18">
        <v>9</v>
      </c>
      <c r="G11" s="18">
        <v>1</v>
      </c>
      <c r="H11" s="17">
        <v>8</v>
      </c>
      <c r="I11" s="17">
        <v>2</v>
      </c>
      <c r="J11" s="17">
        <v>1</v>
      </c>
      <c r="K11" s="17">
        <v>2</v>
      </c>
      <c r="L11" s="17">
        <v>1</v>
      </c>
      <c r="M11" s="17">
        <v>1</v>
      </c>
      <c r="N11" s="17">
        <v>4</v>
      </c>
      <c r="O11" s="17">
        <v>8</v>
      </c>
      <c r="P11" s="17">
        <v>8</v>
      </c>
      <c r="Q11" s="17">
        <v>1</v>
      </c>
      <c r="R11" s="17">
        <v>1</v>
      </c>
      <c r="S11" s="17">
        <v>16</v>
      </c>
      <c r="T11" s="17">
        <v>1</v>
      </c>
      <c r="U11" s="17">
        <v>1</v>
      </c>
      <c r="V11" s="17">
        <v>3</v>
      </c>
      <c r="W11" s="14">
        <v>73</v>
      </c>
    </row>
    <row r="12" spans="2:23" x14ac:dyDescent="0.3">
      <c r="B12" s="18" t="s">
        <v>305</v>
      </c>
      <c r="C12" s="18" t="s">
        <v>328</v>
      </c>
      <c r="D12" s="18">
        <v>69</v>
      </c>
      <c r="E12" s="18">
        <v>68</v>
      </c>
      <c r="F12" s="18" t="s">
        <v>329</v>
      </c>
      <c r="G12" s="18">
        <v>58</v>
      </c>
      <c r="H12" s="18" t="s">
        <v>298</v>
      </c>
      <c r="I12" s="18" t="s">
        <v>297</v>
      </c>
      <c r="J12" s="18">
        <v>47</v>
      </c>
      <c r="K12" s="18" t="s">
        <v>299</v>
      </c>
      <c r="L12" s="18">
        <v>44</v>
      </c>
      <c r="M12" s="18">
        <v>43</v>
      </c>
      <c r="N12" s="18" t="s">
        <v>300</v>
      </c>
      <c r="O12" s="18" t="s">
        <v>302</v>
      </c>
      <c r="P12" s="18" t="s">
        <v>301</v>
      </c>
      <c r="Q12" s="18">
        <v>22</v>
      </c>
      <c r="R12" s="18">
        <v>21</v>
      </c>
      <c r="S12" s="18" t="s">
        <v>296</v>
      </c>
      <c r="T12" s="18" t="s">
        <v>103</v>
      </c>
      <c r="U12" s="18" t="s">
        <v>102</v>
      </c>
      <c r="V12" s="18" t="s">
        <v>101</v>
      </c>
      <c r="W12" s="14"/>
    </row>
    <row r="15" spans="2:23" ht="21" x14ac:dyDescent="0.3">
      <c r="B15" s="24" t="s">
        <v>337</v>
      </c>
      <c r="C15" s="24"/>
      <c r="D15" s="24"/>
      <c r="E15" s="24"/>
      <c r="F15" s="24"/>
      <c r="H15" s="24" t="s">
        <v>338</v>
      </c>
      <c r="I15" s="24"/>
      <c r="J15" s="24"/>
      <c r="K15" s="24"/>
      <c r="L15" s="24"/>
      <c r="M15" s="24"/>
      <c r="N15" s="24"/>
      <c r="O15" s="24"/>
      <c r="P15" s="24"/>
      <c r="Q15" s="24"/>
      <c r="R15" s="24"/>
    </row>
    <row r="16" spans="2:23" ht="14.4" customHeight="1" x14ac:dyDescent="0.3"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</row>
  </sheetData>
  <mergeCells count="4">
    <mergeCell ref="B4:W4"/>
    <mergeCell ref="B9:W9"/>
    <mergeCell ref="B15:F15"/>
    <mergeCell ref="H15:R15"/>
  </mergeCells>
  <pageMargins left="0.7" right="0.7" top="0.75" bottom="0.75" header="0.3" footer="0.3"/>
  <ignoredErrors>
    <ignoredError sqref="O7:P7 T12:U12" numberStoredAsText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1CED7-A136-4619-B3F8-90978438B615}">
  <sheetPr codeName="Sheet6">
    <tabColor rgb="FF92D050"/>
  </sheetPr>
  <dimension ref="A1:V75"/>
  <sheetViews>
    <sheetView tabSelected="1" topLeftCell="L58" workbookViewId="0">
      <selection activeCell="V79" sqref="V79"/>
    </sheetView>
  </sheetViews>
  <sheetFormatPr defaultRowHeight="14.4" x14ac:dyDescent="0.3"/>
  <cols>
    <col min="2" max="2" width="10.21875" customWidth="1"/>
    <col min="3" max="3" width="12.109375" customWidth="1"/>
    <col min="4" max="4" width="21.33203125" customWidth="1"/>
    <col min="5" max="5" width="38.21875" customWidth="1"/>
    <col min="6" max="6" width="7.44140625" customWidth="1"/>
    <col min="7" max="7" width="15.5546875" customWidth="1"/>
    <col min="9" max="9" width="10.77734375" customWidth="1"/>
    <col min="10" max="10" width="14.44140625" customWidth="1"/>
    <col min="12" max="12" width="11" customWidth="1"/>
    <col min="13" max="13" width="12.109375" customWidth="1"/>
    <col min="14" max="14" width="12.6640625" customWidth="1"/>
    <col min="15" max="15" width="11.5546875" customWidth="1"/>
    <col min="16" max="16" width="10.6640625" customWidth="1"/>
    <col min="17" max="17" width="11.77734375" customWidth="1"/>
    <col min="18" max="18" width="20.88671875" customWidth="1"/>
    <col min="19" max="19" width="13.77734375" customWidth="1"/>
    <col min="20" max="20" width="11.21875" customWidth="1"/>
    <col min="21" max="21" width="11.109375" customWidth="1"/>
    <col min="22" max="22" width="73.21875" customWidth="1"/>
  </cols>
  <sheetData>
    <row r="1" spans="1:22" s="33" customFormat="1" x14ac:dyDescent="0.3"/>
    <row r="2" spans="1:22" s="4" customFormat="1" x14ac:dyDescent="0.3">
      <c r="C2" s="25" t="s">
        <v>14</v>
      </c>
      <c r="D2" s="25" t="s">
        <v>15</v>
      </c>
      <c r="E2" s="25" t="s">
        <v>16</v>
      </c>
      <c r="F2" s="32" t="s">
        <v>284</v>
      </c>
      <c r="G2" s="31" t="s">
        <v>336</v>
      </c>
      <c r="H2" s="31"/>
      <c r="I2" s="31"/>
      <c r="J2" s="31"/>
      <c r="K2" s="31"/>
      <c r="L2" s="31"/>
      <c r="M2" s="31"/>
      <c r="N2" s="31"/>
      <c r="O2" s="31"/>
      <c r="P2" s="31"/>
      <c r="Q2" s="29" t="s">
        <v>17</v>
      </c>
      <c r="R2" s="29"/>
      <c r="S2" s="29"/>
      <c r="T2" s="29"/>
      <c r="U2" s="29"/>
      <c r="V2" s="30" t="s">
        <v>17</v>
      </c>
    </row>
    <row r="3" spans="1:22" s="4" customFormat="1" x14ac:dyDescent="0.3">
      <c r="C3" s="25"/>
      <c r="D3" s="25"/>
      <c r="E3" s="25"/>
      <c r="F3" s="32"/>
      <c r="G3" s="20" t="s">
        <v>0</v>
      </c>
      <c r="H3" s="20" t="s">
        <v>1</v>
      </c>
      <c r="I3" s="1" t="s">
        <v>10</v>
      </c>
      <c r="J3" s="1" t="s">
        <v>11</v>
      </c>
      <c r="K3" s="1" t="s">
        <v>7</v>
      </c>
      <c r="L3" s="1" t="s">
        <v>2</v>
      </c>
      <c r="M3" s="1" t="s">
        <v>3</v>
      </c>
      <c r="N3" s="1" t="s">
        <v>4</v>
      </c>
      <c r="O3" s="1" t="s">
        <v>5</v>
      </c>
      <c r="P3" s="1" t="s">
        <v>6</v>
      </c>
      <c r="Q3" s="2" t="s">
        <v>12</v>
      </c>
      <c r="R3" s="2" t="s">
        <v>178</v>
      </c>
      <c r="S3" s="2" t="s">
        <v>13</v>
      </c>
      <c r="T3" s="2" t="s">
        <v>8</v>
      </c>
      <c r="U3" s="2" t="s">
        <v>9</v>
      </c>
      <c r="V3" s="30"/>
    </row>
    <row r="4" spans="1:22" s="4" customFormat="1" x14ac:dyDescent="0.3">
      <c r="A4" s="4">
        <v>1</v>
      </c>
      <c r="B4" s="4" t="s">
        <v>18</v>
      </c>
      <c r="C4" s="4" t="str">
        <f>DEC2BIN(1,8)</f>
        <v>00000001</v>
      </c>
      <c r="D4" s="4" t="s">
        <v>19</v>
      </c>
      <c r="E4" s="4" t="s">
        <v>34</v>
      </c>
      <c r="F4" s="6" t="s">
        <v>104</v>
      </c>
      <c r="G4" s="7" t="str">
        <f>DEC2BIN(1,8)</f>
        <v>00000001</v>
      </c>
      <c r="H4" s="7" t="str">
        <f>DEC2BIN(0,2)</f>
        <v>00</v>
      </c>
      <c r="I4" s="7" t="s">
        <v>70</v>
      </c>
      <c r="J4" s="7" t="str">
        <f t="shared" ref="J4:J8" si="0">DEC2BIN(3,2)</f>
        <v>11</v>
      </c>
      <c r="K4" s="7">
        <v>1</v>
      </c>
      <c r="L4" s="7" t="str">
        <f>DEC2BIN(0,1)</f>
        <v>0</v>
      </c>
      <c r="M4" s="7" t="str">
        <f>DEC2BIN(0,4)</f>
        <v>0000</v>
      </c>
      <c r="N4" s="7" t="str">
        <f>DEC2BIN(67,8)</f>
        <v>01000011</v>
      </c>
      <c r="O4" s="7" t="str">
        <f>DEC2BIN(71,8)</f>
        <v>01000111</v>
      </c>
      <c r="P4" s="7">
        <v>0</v>
      </c>
      <c r="Q4" s="7">
        <v>0</v>
      </c>
      <c r="R4" s="7" t="s">
        <v>214</v>
      </c>
      <c r="S4" s="7">
        <v>0</v>
      </c>
      <c r="T4" s="7">
        <v>0</v>
      </c>
      <c r="U4" s="7" t="str">
        <f>DEC2BIN(0,3)</f>
        <v>000</v>
      </c>
      <c r="V4" s="7" t="s">
        <v>179</v>
      </c>
    </row>
    <row r="5" spans="1:22" s="4" customFormat="1" x14ac:dyDescent="0.3">
      <c r="A5" s="4">
        <v>2</v>
      </c>
      <c r="C5" s="4" t="str">
        <f>DEC2BIN(2,8)</f>
        <v>00000010</v>
      </c>
      <c r="D5" s="4" t="s">
        <v>20</v>
      </c>
      <c r="E5" s="4" t="s">
        <v>35</v>
      </c>
      <c r="F5" s="6" t="s">
        <v>104</v>
      </c>
      <c r="G5" s="7" t="str">
        <f>DEC2BIN(2,8)</f>
        <v>00000010</v>
      </c>
      <c r="H5" s="7" t="str">
        <f t="shared" ref="H5:H34" si="1">DEC2BIN(0,2)</f>
        <v>00</v>
      </c>
      <c r="I5" s="7" t="s">
        <v>70</v>
      </c>
      <c r="J5" s="7" t="str">
        <f t="shared" si="0"/>
        <v>11</v>
      </c>
      <c r="K5" s="7">
        <v>1</v>
      </c>
      <c r="L5" s="7" t="str">
        <f t="shared" ref="L5:L18" si="2">DEC2BIN(0,1)</f>
        <v>0</v>
      </c>
      <c r="M5" s="7" t="str">
        <f>DEC2BIN(1,4)</f>
        <v>0001</v>
      </c>
      <c r="N5" s="7" t="str">
        <f>DEC2BIN(67,8)</f>
        <v>01000011</v>
      </c>
      <c r="O5" s="7" t="str">
        <f>DEC2BIN(71,8)</f>
        <v>01000111</v>
      </c>
      <c r="P5" s="7">
        <v>0</v>
      </c>
      <c r="Q5" s="7">
        <v>0</v>
      </c>
      <c r="R5" s="7" t="s">
        <v>215</v>
      </c>
      <c r="S5" s="7">
        <v>0</v>
      </c>
      <c r="T5" s="7">
        <v>0</v>
      </c>
      <c r="U5" s="7" t="str">
        <f t="shared" ref="U5:U18" si="3">DEC2BIN(0,3)</f>
        <v>000</v>
      </c>
      <c r="V5" s="7" t="s">
        <v>180</v>
      </c>
    </row>
    <row r="6" spans="1:22" s="4" customFormat="1" x14ac:dyDescent="0.3">
      <c r="A6" s="4">
        <v>3</v>
      </c>
      <c r="C6" s="4" t="str">
        <f>DEC2BIN(3,8)</f>
        <v>00000011</v>
      </c>
      <c r="D6" s="4" t="s">
        <v>21</v>
      </c>
      <c r="E6" s="4" t="s">
        <v>36</v>
      </c>
      <c r="F6" s="6" t="s">
        <v>104</v>
      </c>
      <c r="G6" s="7" t="str">
        <f>DEC2BIN(3,8)</f>
        <v>00000011</v>
      </c>
      <c r="H6" s="7" t="str">
        <f t="shared" si="1"/>
        <v>00</v>
      </c>
      <c r="I6" s="7" t="s">
        <v>70</v>
      </c>
      <c r="J6" s="7" t="str">
        <f t="shared" si="0"/>
        <v>11</v>
      </c>
      <c r="K6" s="7">
        <v>1</v>
      </c>
      <c r="L6" s="7" t="str">
        <f t="shared" si="2"/>
        <v>0</v>
      </c>
      <c r="M6" s="7" t="str">
        <f>DEC2BIN(2,4)</f>
        <v>0010</v>
      </c>
      <c r="N6" s="7" t="str">
        <f>DEC2BIN(33,8)</f>
        <v>00100001</v>
      </c>
      <c r="O6" s="7" t="str">
        <f>DEC2BIN(14,8)</f>
        <v>00001110</v>
      </c>
      <c r="P6" s="7">
        <v>0</v>
      </c>
      <c r="Q6" s="7">
        <v>0</v>
      </c>
      <c r="R6" s="7" t="s">
        <v>216</v>
      </c>
      <c r="S6" s="7">
        <v>0</v>
      </c>
      <c r="T6" s="7">
        <v>0</v>
      </c>
      <c r="U6" s="7" t="str">
        <f t="shared" si="3"/>
        <v>000</v>
      </c>
      <c r="V6" s="7" t="s">
        <v>181</v>
      </c>
    </row>
    <row r="7" spans="1:22" s="4" customFormat="1" x14ac:dyDescent="0.3">
      <c r="A7" s="4">
        <v>4</v>
      </c>
      <c r="C7" s="4" t="str">
        <f>DEC2BIN(4,8)</f>
        <v>00000100</v>
      </c>
      <c r="D7" s="4" t="s">
        <v>22</v>
      </c>
      <c r="E7" s="4" t="s">
        <v>37</v>
      </c>
      <c r="F7" s="6" t="s">
        <v>104</v>
      </c>
      <c r="G7" s="7" t="str">
        <f>DEC2BIN(4,8)</f>
        <v>00000100</v>
      </c>
      <c r="H7" s="7" t="str">
        <f t="shared" si="1"/>
        <v>00</v>
      </c>
      <c r="I7" s="7" t="s">
        <v>70</v>
      </c>
      <c r="J7" s="7" t="str">
        <f t="shared" si="0"/>
        <v>11</v>
      </c>
      <c r="K7" s="7">
        <v>1</v>
      </c>
      <c r="L7" s="7" t="str">
        <f t="shared" si="2"/>
        <v>0</v>
      </c>
      <c r="M7" s="7" t="str">
        <f>DEC2BIN(3,4)</f>
        <v>0011</v>
      </c>
      <c r="N7" s="7" t="str">
        <f>DEC2BIN(33,8)</f>
        <v>00100001</v>
      </c>
      <c r="O7" s="7" t="str">
        <f>DEC2BIN(14,8)</f>
        <v>00001110</v>
      </c>
      <c r="P7" s="7">
        <v>0</v>
      </c>
      <c r="Q7" s="7">
        <v>0</v>
      </c>
      <c r="R7" s="7" t="s">
        <v>217</v>
      </c>
      <c r="S7" s="7">
        <v>0</v>
      </c>
      <c r="T7" s="7">
        <v>0</v>
      </c>
      <c r="U7" s="7" t="str">
        <f t="shared" si="3"/>
        <v>000</v>
      </c>
      <c r="V7" s="7" t="s">
        <v>182</v>
      </c>
    </row>
    <row r="8" spans="1:22" s="4" customFormat="1" x14ac:dyDescent="0.3">
      <c r="A8" s="4">
        <v>5</v>
      </c>
      <c r="C8" s="4" t="str">
        <f>DEC2BIN(5,8)</f>
        <v>00000101</v>
      </c>
      <c r="D8" s="4" t="s">
        <v>23</v>
      </c>
      <c r="E8" s="4" t="s">
        <v>38</v>
      </c>
      <c r="F8" s="6" t="s">
        <v>104</v>
      </c>
      <c r="G8" s="7" t="str">
        <f>DEC2BIN(5,8)</f>
        <v>00000101</v>
      </c>
      <c r="H8" s="7" t="str">
        <f t="shared" si="1"/>
        <v>00</v>
      </c>
      <c r="I8" s="7" t="s">
        <v>70</v>
      </c>
      <c r="J8" s="7" t="str">
        <f t="shared" si="0"/>
        <v>11</v>
      </c>
      <c r="K8" s="7">
        <v>1</v>
      </c>
      <c r="L8" s="7" t="str">
        <f t="shared" si="2"/>
        <v>0</v>
      </c>
      <c r="M8" s="7" t="str">
        <f>DEC2BIN(4,4)</f>
        <v>0100</v>
      </c>
      <c r="N8" s="7" t="str">
        <f>DEC2BIN(123,8)</f>
        <v>01111011</v>
      </c>
      <c r="O8" s="7" t="str">
        <f>DEC2BIN(0,8)</f>
        <v>00000000</v>
      </c>
      <c r="P8" s="7">
        <v>0</v>
      </c>
      <c r="Q8" s="7">
        <v>0</v>
      </c>
      <c r="R8" s="7" t="s">
        <v>218</v>
      </c>
      <c r="S8" s="7">
        <v>0</v>
      </c>
      <c r="T8" s="7">
        <v>0</v>
      </c>
      <c r="U8" s="7" t="str">
        <f t="shared" si="3"/>
        <v>000</v>
      </c>
      <c r="V8" s="7" t="s">
        <v>183</v>
      </c>
    </row>
    <row r="9" spans="1:22" s="4" customFormat="1" x14ac:dyDescent="0.3">
      <c r="A9" s="4">
        <v>6</v>
      </c>
      <c r="C9" s="4" t="str">
        <f>DEC2BIN(6,8)</f>
        <v>00000110</v>
      </c>
      <c r="D9" s="4" t="s">
        <v>24</v>
      </c>
      <c r="E9" s="4" t="s">
        <v>39</v>
      </c>
      <c r="F9" s="6" t="s">
        <v>104</v>
      </c>
      <c r="G9" s="7" t="str">
        <f>DEC2BIN(6,8)</f>
        <v>00000110</v>
      </c>
      <c r="H9" s="7" t="str">
        <f t="shared" si="1"/>
        <v>00</v>
      </c>
      <c r="I9" s="7" t="s">
        <v>70</v>
      </c>
      <c r="J9" s="7" t="s">
        <v>75</v>
      </c>
      <c r="K9" s="7" t="s">
        <v>74</v>
      </c>
      <c r="L9" s="7" t="s">
        <v>70</v>
      </c>
      <c r="M9" s="7" t="s">
        <v>90</v>
      </c>
      <c r="N9" s="7" t="s">
        <v>333</v>
      </c>
      <c r="O9" s="7" t="s">
        <v>95</v>
      </c>
      <c r="P9" s="7" t="s">
        <v>70</v>
      </c>
      <c r="Q9" s="7" t="s">
        <v>70</v>
      </c>
      <c r="R9" s="7" t="s">
        <v>334</v>
      </c>
      <c r="S9" s="7" t="s">
        <v>70</v>
      </c>
      <c r="T9" s="7" t="s">
        <v>70</v>
      </c>
      <c r="U9" s="7" t="str">
        <f t="shared" si="3"/>
        <v>000</v>
      </c>
      <c r="V9" s="7" t="s">
        <v>331</v>
      </c>
    </row>
    <row r="10" spans="1:22" s="4" customFormat="1" x14ac:dyDescent="0.3">
      <c r="A10" s="4">
        <v>7</v>
      </c>
      <c r="C10" s="4" t="str">
        <f>DEC2BIN(7,8)</f>
        <v>00000111</v>
      </c>
      <c r="D10" s="4" t="s">
        <v>25</v>
      </c>
      <c r="E10" s="4" t="s">
        <v>40</v>
      </c>
      <c r="F10" s="6" t="s">
        <v>104</v>
      </c>
      <c r="G10" s="7" t="str">
        <f>DEC2BIN(7,8)</f>
        <v>00000111</v>
      </c>
      <c r="H10" s="7" t="str">
        <f t="shared" si="1"/>
        <v>00</v>
      </c>
      <c r="I10" s="7" t="s">
        <v>70</v>
      </c>
      <c r="J10" s="7" t="s">
        <v>93</v>
      </c>
      <c r="K10" s="7" t="s">
        <v>74</v>
      </c>
      <c r="L10" s="7" t="s">
        <v>70</v>
      </c>
      <c r="M10" s="7" t="s">
        <v>89</v>
      </c>
      <c r="N10" s="7" t="s">
        <v>175</v>
      </c>
      <c r="O10" s="7" t="s">
        <v>95</v>
      </c>
      <c r="P10" s="7" t="s">
        <v>70</v>
      </c>
      <c r="Q10" s="7" t="s">
        <v>70</v>
      </c>
      <c r="R10" s="7" t="s">
        <v>335</v>
      </c>
      <c r="S10" s="7" t="s">
        <v>70</v>
      </c>
      <c r="T10" s="7" t="s">
        <v>70</v>
      </c>
      <c r="U10" s="7" t="str">
        <f t="shared" si="3"/>
        <v>000</v>
      </c>
      <c r="V10" s="7" t="s">
        <v>332</v>
      </c>
    </row>
    <row r="11" spans="1:22" s="4" customFormat="1" ht="13.8" customHeight="1" x14ac:dyDescent="0.3">
      <c r="A11" s="4">
        <v>8</v>
      </c>
      <c r="C11" s="4" t="str">
        <f>DEC2BIN(8,8)</f>
        <v>00001000</v>
      </c>
      <c r="D11" s="4" t="s">
        <v>26</v>
      </c>
      <c r="E11" s="4" t="s">
        <v>41</v>
      </c>
      <c r="F11" s="6" t="s">
        <v>104</v>
      </c>
      <c r="G11" s="7" t="str">
        <f>DEC2BIN(8,8)</f>
        <v>00001000</v>
      </c>
      <c r="H11" s="7" t="str">
        <f t="shared" si="1"/>
        <v>00</v>
      </c>
      <c r="I11" s="7" t="s">
        <v>70</v>
      </c>
      <c r="J11" s="7" t="str">
        <f>DEC2BIN(2,2)</f>
        <v>10</v>
      </c>
      <c r="K11" s="7">
        <v>1</v>
      </c>
      <c r="L11" s="7" t="str">
        <f t="shared" si="2"/>
        <v>0</v>
      </c>
      <c r="M11" s="7" t="str">
        <f>DEC2BIN(7,4)</f>
        <v>0111</v>
      </c>
      <c r="N11" s="7" t="str">
        <f>DEC2BIN(0,8)</f>
        <v>00000000</v>
      </c>
      <c r="O11" s="7" t="str">
        <f>DEC2BIN(99,8)</f>
        <v>01100011</v>
      </c>
      <c r="P11" s="7">
        <v>0</v>
      </c>
      <c r="Q11" s="7">
        <v>0</v>
      </c>
      <c r="R11" s="7" t="s">
        <v>227</v>
      </c>
      <c r="S11" s="7">
        <v>0</v>
      </c>
      <c r="T11" s="7">
        <v>0</v>
      </c>
      <c r="U11" s="7" t="str">
        <f t="shared" si="3"/>
        <v>000</v>
      </c>
      <c r="V11" s="7" t="s">
        <v>184</v>
      </c>
    </row>
    <row r="12" spans="1:22" s="4" customFormat="1" x14ac:dyDescent="0.3">
      <c r="A12" s="4">
        <v>9</v>
      </c>
      <c r="C12" s="4" t="str">
        <f>DEC2BIN(9,8)</f>
        <v>00001001</v>
      </c>
      <c r="D12" s="4" t="s">
        <v>27</v>
      </c>
      <c r="E12" s="4" t="s">
        <v>42</v>
      </c>
      <c r="F12" s="6" t="s">
        <v>104</v>
      </c>
      <c r="G12" s="7" t="str">
        <f>DEC2BIN(9,8)</f>
        <v>00001001</v>
      </c>
      <c r="H12" s="7" t="str">
        <f t="shared" si="1"/>
        <v>00</v>
      </c>
      <c r="I12" s="7" t="s">
        <v>70</v>
      </c>
      <c r="J12" s="7" t="str">
        <f>DEC2BIN(1,2)</f>
        <v>01</v>
      </c>
      <c r="K12" s="7">
        <v>1</v>
      </c>
      <c r="L12" s="7" t="str">
        <f t="shared" si="2"/>
        <v>0</v>
      </c>
      <c r="M12" s="7" t="str">
        <f>DEC2BIN(8,4)</f>
        <v>1000</v>
      </c>
      <c r="N12" s="7" t="str">
        <f>DEC2BIN(172,8)</f>
        <v>10101100</v>
      </c>
      <c r="O12" s="7" t="str">
        <f>DEC2BIN(0,8)</f>
        <v>00000000</v>
      </c>
      <c r="P12" s="7">
        <v>0</v>
      </c>
      <c r="Q12" s="7">
        <v>0</v>
      </c>
      <c r="R12" s="7" t="s">
        <v>226</v>
      </c>
      <c r="S12" s="7">
        <v>0</v>
      </c>
      <c r="T12" s="7">
        <v>0</v>
      </c>
      <c r="U12" s="7" t="str">
        <f t="shared" si="3"/>
        <v>000</v>
      </c>
      <c r="V12" s="7" t="s">
        <v>185</v>
      </c>
    </row>
    <row r="13" spans="1:22" s="4" customFormat="1" x14ac:dyDescent="0.3">
      <c r="A13" s="4">
        <v>10</v>
      </c>
      <c r="C13" s="4" t="str">
        <f>DEC2BIN(10,8)</f>
        <v>00001010</v>
      </c>
      <c r="D13" s="4" t="s">
        <v>28</v>
      </c>
      <c r="E13" s="4" t="s">
        <v>43</v>
      </c>
      <c r="F13" s="6" t="s">
        <v>104</v>
      </c>
      <c r="G13" s="7" t="str">
        <f>DEC2BIN(10,8)</f>
        <v>00001010</v>
      </c>
      <c r="H13" s="7" t="str">
        <f t="shared" si="1"/>
        <v>00</v>
      </c>
      <c r="I13" s="7" t="s">
        <v>70</v>
      </c>
      <c r="J13" s="7" t="s">
        <v>75</v>
      </c>
      <c r="K13" s="7">
        <v>1</v>
      </c>
      <c r="L13" s="7" t="str">
        <f t="shared" si="2"/>
        <v>0</v>
      </c>
      <c r="M13" s="7" t="str">
        <f>DEC2BIN(9,4)</f>
        <v>1001</v>
      </c>
      <c r="N13" s="7" t="str">
        <f>DEC2BIN(54,8)</f>
        <v>00110110</v>
      </c>
      <c r="O13" s="7" t="s">
        <v>105</v>
      </c>
      <c r="P13" s="7">
        <v>0</v>
      </c>
      <c r="Q13" s="7">
        <v>0</v>
      </c>
      <c r="R13" s="7" t="s">
        <v>225</v>
      </c>
      <c r="S13" s="7">
        <v>0</v>
      </c>
      <c r="T13" s="7">
        <v>0</v>
      </c>
      <c r="U13" s="7" t="str">
        <f t="shared" si="3"/>
        <v>000</v>
      </c>
      <c r="V13" s="7" t="s">
        <v>186</v>
      </c>
    </row>
    <row r="14" spans="1:22" s="4" customFormat="1" x14ac:dyDescent="0.3">
      <c r="A14" s="4">
        <v>11</v>
      </c>
      <c r="C14" s="4" t="str">
        <f>DEC2BIN(11,8)</f>
        <v>00001011</v>
      </c>
      <c r="D14" s="4" t="s">
        <v>29</v>
      </c>
      <c r="E14" s="4" t="s">
        <v>44</v>
      </c>
      <c r="F14" s="6" t="s">
        <v>104</v>
      </c>
      <c r="G14" s="7" t="str">
        <f>DEC2BIN(11,8)</f>
        <v>00001011</v>
      </c>
      <c r="H14" s="7" t="str">
        <f t="shared" si="1"/>
        <v>00</v>
      </c>
      <c r="I14" s="7" t="s">
        <v>70</v>
      </c>
      <c r="J14" s="7" t="s">
        <v>75</v>
      </c>
      <c r="K14" s="7">
        <v>1</v>
      </c>
      <c r="L14" s="7" t="str">
        <f t="shared" si="2"/>
        <v>0</v>
      </c>
      <c r="M14" s="7" t="str">
        <f>DEC2BIN(10,4)</f>
        <v>1010</v>
      </c>
      <c r="N14" s="7" t="s">
        <v>106</v>
      </c>
      <c r="O14" s="7" t="str">
        <f>DEC2BIN(240,8)</f>
        <v>11110000</v>
      </c>
      <c r="P14" s="7">
        <v>0</v>
      </c>
      <c r="Q14" s="7">
        <v>0</v>
      </c>
      <c r="R14" s="7" t="s">
        <v>224</v>
      </c>
      <c r="S14" s="7">
        <v>0</v>
      </c>
      <c r="T14" s="7">
        <v>0</v>
      </c>
      <c r="U14" s="7" t="str">
        <f t="shared" si="3"/>
        <v>000</v>
      </c>
      <c r="V14" s="7" t="s">
        <v>187</v>
      </c>
    </row>
    <row r="15" spans="1:22" s="4" customFormat="1" x14ac:dyDescent="0.3">
      <c r="A15" s="4">
        <v>12</v>
      </c>
      <c r="C15" s="4" t="str">
        <f>DEC2BIN(12,8)</f>
        <v>00001100</v>
      </c>
      <c r="D15" s="4" t="s">
        <v>30</v>
      </c>
      <c r="E15" s="4" t="s">
        <v>45</v>
      </c>
      <c r="F15" s="6" t="s">
        <v>104</v>
      </c>
      <c r="G15" s="7" t="str">
        <f>DEC2BIN(12,8)</f>
        <v>00001100</v>
      </c>
      <c r="H15" s="7" t="str">
        <f t="shared" si="1"/>
        <v>00</v>
      </c>
      <c r="I15" s="7" t="s">
        <v>70</v>
      </c>
      <c r="J15" s="7" t="str">
        <f>DEC2BIN(2,2)</f>
        <v>10</v>
      </c>
      <c r="K15" s="7">
        <v>1</v>
      </c>
      <c r="L15" s="7" t="str">
        <f t="shared" si="2"/>
        <v>0</v>
      </c>
      <c r="M15" s="7" t="str">
        <f>DEC2BIN(11,4)</f>
        <v>1011</v>
      </c>
      <c r="N15" s="7" t="str">
        <f>DEC2BIN(0,8)</f>
        <v>00000000</v>
      </c>
      <c r="O15" s="7" t="str">
        <f>DEC2BIN(29,8)</f>
        <v>00011101</v>
      </c>
      <c r="P15" s="7">
        <v>0</v>
      </c>
      <c r="Q15" s="7">
        <v>0</v>
      </c>
      <c r="R15" s="7" t="s">
        <v>223</v>
      </c>
      <c r="S15" s="7">
        <v>0</v>
      </c>
      <c r="T15" s="7">
        <v>0</v>
      </c>
      <c r="U15" s="7" t="str">
        <f t="shared" si="3"/>
        <v>000</v>
      </c>
      <c r="V15" s="7" t="s">
        <v>188</v>
      </c>
    </row>
    <row r="16" spans="1:22" s="4" customFormat="1" x14ac:dyDescent="0.3">
      <c r="A16" s="4">
        <v>13</v>
      </c>
      <c r="C16" s="4" t="str">
        <f>DEC2BIN(13,8)</f>
        <v>00001101</v>
      </c>
      <c r="D16" s="4" t="s">
        <v>31</v>
      </c>
      <c r="E16" s="4" t="s">
        <v>64</v>
      </c>
      <c r="F16" s="6" t="s">
        <v>104</v>
      </c>
      <c r="G16" s="7" t="str">
        <f>DEC2BIN(13,8)</f>
        <v>00001101</v>
      </c>
      <c r="H16" s="7" t="str">
        <f t="shared" si="1"/>
        <v>00</v>
      </c>
      <c r="I16" s="7" t="s">
        <v>70</v>
      </c>
      <c r="J16" s="7" t="str">
        <f>DEC2BIN(3,2)</f>
        <v>11</v>
      </c>
      <c r="K16" s="7">
        <v>1</v>
      </c>
      <c r="L16" s="7" t="str">
        <f t="shared" si="2"/>
        <v>0</v>
      </c>
      <c r="M16" s="7" t="str">
        <f>DEC2BIN(12,4)</f>
        <v>1100</v>
      </c>
      <c r="N16" s="7" t="str">
        <f>DEC2BIN(130,8)</f>
        <v>10000010</v>
      </c>
      <c r="O16" s="7" t="str">
        <f>DEC2BIN(3,8)</f>
        <v>00000011</v>
      </c>
      <c r="P16" s="7">
        <v>0</v>
      </c>
      <c r="Q16" s="7">
        <v>0</v>
      </c>
      <c r="R16" s="7" t="s">
        <v>222</v>
      </c>
      <c r="S16" s="7">
        <v>0</v>
      </c>
      <c r="T16" s="7">
        <v>0</v>
      </c>
      <c r="U16" s="7" t="str">
        <f t="shared" si="3"/>
        <v>000</v>
      </c>
      <c r="V16" s="7" t="s">
        <v>189</v>
      </c>
    </row>
    <row r="17" spans="1:22" s="4" customFormat="1" x14ac:dyDescent="0.3">
      <c r="A17" s="4">
        <v>14</v>
      </c>
      <c r="C17" s="4" t="str">
        <f>DEC2BIN(14,8)</f>
        <v>00001110</v>
      </c>
      <c r="D17" s="4" t="s">
        <v>32</v>
      </c>
      <c r="E17" s="4" t="s">
        <v>65</v>
      </c>
      <c r="F17" s="6" t="s">
        <v>104</v>
      </c>
      <c r="G17" s="7" t="str">
        <f>DEC2BIN(14,8)</f>
        <v>00001110</v>
      </c>
      <c r="H17" s="7" t="str">
        <f t="shared" si="1"/>
        <v>00</v>
      </c>
      <c r="I17" s="7" t="s">
        <v>70</v>
      </c>
      <c r="J17" s="7" t="str">
        <f>DEC2BIN(3,2)</f>
        <v>11</v>
      </c>
      <c r="K17" s="7">
        <v>1</v>
      </c>
      <c r="L17" s="7" t="str">
        <f t="shared" si="2"/>
        <v>0</v>
      </c>
      <c r="M17" s="7" t="str">
        <f>DEC2BIN(13,4)</f>
        <v>1101</v>
      </c>
      <c r="N17" s="7" t="str">
        <f>DEC2BIN(20,8)</f>
        <v>00010100</v>
      </c>
      <c r="O17" s="7" t="str">
        <f>DEC2BIN(2,8)</f>
        <v>00000010</v>
      </c>
      <c r="P17" s="7">
        <v>0</v>
      </c>
      <c r="Q17" s="7">
        <v>0</v>
      </c>
      <c r="R17" s="7" t="s">
        <v>221</v>
      </c>
      <c r="S17" s="7">
        <v>0</v>
      </c>
      <c r="T17" s="7">
        <v>0</v>
      </c>
      <c r="U17" s="7" t="str">
        <f t="shared" si="3"/>
        <v>000</v>
      </c>
      <c r="V17" s="7" t="s">
        <v>190</v>
      </c>
    </row>
    <row r="18" spans="1:22" s="4" customFormat="1" x14ac:dyDescent="0.3">
      <c r="A18" s="4">
        <v>15</v>
      </c>
      <c r="C18" s="4" t="str">
        <f>DEC2BIN(15,8)</f>
        <v>00001111</v>
      </c>
      <c r="D18" s="4" t="s">
        <v>33</v>
      </c>
      <c r="E18" s="4" t="s">
        <v>46</v>
      </c>
      <c r="F18" s="6" t="s">
        <v>104</v>
      </c>
      <c r="G18" s="7" t="str">
        <f>DEC2BIN(15,8)</f>
        <v>00001111</v>
      </c>
      <c r="H18" s="7" t="str">
        <f t="shared" si="1"/>
        <v>00</v>
      </c>
      <c r="I18" s="7" t="s">
        <v>70</v>
      </c>
      <c r="J18" s="7" t="s">
        <v>71</v>
      </c>
      <c r="K18" s="7">
        <v>1</v>
      </c>
      <c r="L18" s="7" t="str">
        <f t="shared" si="2"/>
        <v>0</v>
      </c>
      <c r="M18" s="7" t="str">
        <f>DEC2BIN(15,4)</f>
        <v>1111</v>
      </c>
      <c r="N18" s="7" t="str">
        <f>DEC2BIN(0,8)</f>
        <v>00000000</v>
      </c>
      <c r="O18" s="7" t="str">
        <f>DEC2BIN(0,8)</f>
        <v>00000000</v>
      </c>
      <c r="P18" s="7">
        <v>0</v>
      </c>
      <c r="Q18" s="7">
        <v>1</v>
      </c>
      <c r="R18" s="7" t="s">
        <v>220</v>
      </c>
      <c r="S18" s="7" t="s">
        <v>70</v>
      </c>
      <c r="T18" s="7">
        <v>0</v>
      </c>
      <c r="U18" s="7" t="str">
        <f t="shared" si="3"/>
        <v>000</v>
      </c>
      <c r="V18" s="7" t="s">
        <v>191</v>
      </c>
    </row>
    <row r="19" spans="1:22" s="33" customFormat="1" x14ac:dyDescent="0.3"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</row>
    <row r="20" spans="1:22" s="4" customFormat="1" x14ac:dyDescent="0.3">
      <c r="A20" s="4">
        <v>0</v>
      </c>
      <c r="B20" s="4" t="s">
        <v>47</v>
      </c>
      <c r="C20" s="4" t="str">
        <f>DEC2BIN(16 + A20,8)</f>
        <v>00010000</v>
      </c>
      <c r="D20" s="26" t="s">
        <v>48</v>
      </c>
      <c r="E20" s="26" t="s">
        <v>49</v>
      </c>
      <c r="F20" s="6" t="s">
        <v>104</v>
      </c>
      <c r="G20" s="7" t="str">
        <f>DEC2BIN(16 + A20,8)</f>
        <v>00010000</v>
      </c>
      <c r="H20" s="7" t="str">
        <f t="shared" si="1"/>
        <v>00</v>
      </c>
      <c r="I20" s="7" t="s">
        <v>70</v>
      </c>
      <c r="J20" s="7">
        <v>11</v>
      </c>
      <c r="K20" s="7">
        <v>1</v>
      </c>
      <c r="L20" s="7">
        <v>1</v>
      </c>
      <c r="M20" s="7" t="str">
        <f>DEC2BIN(0,4)</f>
        <v>0000</v>
      </c>
      <c r="N20" s="7" t="str">
        <f>DEC2BIN(255,8)</f>
        <v>11111111</v>
      </c>
      <c r="O20" s="7" t="str">
        <f>DEC2BIN(1,8)</f>
        <v>00000001</v>
      </c>
      <c r="P20" s="7">
        <v>0</v>
      </c>
      <c r="Q20" s="7">
        <v>0</v>
      </c>
      <c r="R20" s="7" t="s">
        <v>219</v>
      </c>
      <c r="S20" s="7" t="s">
        <v>70</v>
      </c>
      <c r="T20" s="7">
        <v>1</v>
      </c>
      <c r="U20" s="7" t="s">
        <v>72</v>
      </c>
      <c r="V20" s="7" t="s">
        <v>192</v>
      </c>
    </row>
    <row r="21" spans="1:22" s="4" customFormat="1" x14ac:dyDescent="0.3">
      <c r="A21" s="4">
        <v>1</v>
      </c>
      <c r="C21" s="4" t="str">
        <f t="shared" ref="C21:C40" si="4">DEC2BIN(16 + A21,8)</f>
        <v>00010001</v>
      </c>
      <c r="D21" s="26"/>
      <c r="E21" s="26"/>
      <c r="F21" s="6" t="s">
        <v>104</v>
      </c>
      <c r="G21" s="7" t="str">
        <f t="shared" ref="G21:G40" si="5">DEC2BIN(16 + A21,8)</f>
        <v>00010001</v>
      </c>
      <c r="H21" s="7" t="str">
        <f t="shared" si="1"/>
        <v>00</v>
      </c>
      <c r="I21" s="7" t="s">
        <v>70</v>
      </c>
      <c r="J21" s="7">
        <v>11</v>
      </c>
      <c r="K21" s="7">
        <v>1</v>
      </c>
      <c r="L21" s="7">
        <v>1</v>
      </c>
      <c r="M21" s="7" t="str">
        <f>DEC2BIN(0,4)</f>
        <v>0000</v>
      </c>
      <c r="N21" s="7" t="str">
        <f>DEC2BIN(170,8)</f>
        <v>10101010</v>
      </c>
      <c r="O21" s="7" t="str">
        <f>DEC2BIN(85,8)</f>
        <v>01010101</v>
      </c>
      <c r="P21" s="7">
        <v>0</v>
      </c>
      <c r="Q21" s="7">
        <v>0</v>
      </c>
      <c r="R21" s="7" t="s">
        <v>228</v>
      </c>
      <c r="S21" s="7" t="s">
        <v>70</v>
      </c>
      <c r="T21" s="7">
        <v>0</v>
      </c>
      <c r="U21" s="7" t="s">
        <v>72</v>
      </c>
      <c r="V21" s="7" t="s">
        <v>193</v>
      </c>
    </row>
    <row r="22" spans="1:22" s="4" customFormat="1" x14ac:dyDescent="0.3">
      <c r="A22" s="4">
        <v>2</v>
      </c>
      <c r="C22" s="4" t="str">
        <f t="shared" si="4"/>
        <v>00010010</v>
      </c>
      <c r="D22" s="26" t="s">
        <v>51</v>
      </c>
      <c r="E22" s="26" t="s">
        <v>50</v>
      </c>
      <c r="F22" s="6" t="s">
        <v>104</v>
      </c>
      <c r="G22" s="7" t="str">
        <f t="shared" si="5"/>
        <v>00010010</v>
      </c>
      <c r="H22" s="7" t="str">
        <f t="shared" si="1"/>
        <v>00</v>
      </c>
      <c r="I22" s="7" t="s">
        <v>70</v>
      </c>
      <c r="J22" s="7">
        <v>11</v>
      </c>
      <c r="K22" s="7">
        <v>1</v>
      </c>
      <c r="L22" s="7">
        <v>1</v>
      </c>
      <c r="M22" s="7" t="str">
        <f>DEC2BIN(2,4)</f>
        <v>0010</v>
      </c>
      <c r="N22" s="7" t="str">
        <f>DEC2BIN(253,8)</f>
        <v>11111101</v>
      </c>
      <c r="O22" s="7" t="str">
        <f>DEC2BIN(5,8)</f>
        <v>00000101</v>
      </c>
      <c r="P22" s="7">
        <v>1</v>
      </c>
      <c r="Q22" s="7">
        <v>0</v>
      </c>
      <c r="R22" s="7" t="s">
        <v>229</v>
      </c>
      <c r="S22" s="7" t="s">
        <v>70</v>
      </c>
      <c r="T22" s="7">
        <v>1</v>
      </c>
      <c r="U22" s="7" t="s">
        <v>72</v>
      </c>
      <c r="V22" s="7" t="s">
        <v>194</v>
      </c>
    </row>
    <row r="23" spans="1:22" s="4" customFormat="1" x14ac:dyDescent="0.3">
      <c r="A23" s="4">
        <v>3</v>
      </c>
      <c r="C23" s="4" t="str">
        <f t="shared" si="4"/>
        <v>00010011</v>
      </c>
      <c r="D23" s="26"/>
      <c r="E23" s="26"/>
      <c r="F23" s="6" t="s">
        <v>104</v>
      </c>
      <c r="G23" s="7" t="str">
        <f t="shared" si="5"/>
        <v>00010011</v>
      </c>
      <c r="H23" s="7" t="str">
        <f t="shared" si="1"/>
        <v>00</v>
      </c>
      <c r="I23" s="7" t="s">
        <v>70</v>
      </c>
      <c r="J23" s="7">
        <v>11</v>
      </c>
      <c r="K23" s="7">
        <v>1</v>
      </c>
      <c r="L23" s="7">
        <v>1</v>
      </c>
      <c r="M23" s="7" t="str">
        <f>DEC2BIN(2,4)</f>
        <v>0010</v>
      </c>
      <c r="N23" s="7" t="str">
        <f>DEC2BIN(15,8)</f>
        <v>00001111</v>
      </c>
      <c r="O23" s="7" t="str">
        <f>DEC2BIN(16,8)</f>
        <v>00010000</v>
      </c>
      <c r="P23" s="7">
        <v>1</v>
      </c>
      <c r="Q23" s="7">
        <v>0</v>
      </c>
      <c r="R23" s="7" t="s">
        <v>230</v>
      </c>
      <c r="S23" s="7" t="s">
        <v>70</v>
      </c>
      <c r="T23" s="7">
        <v>0</v>
      </c>
      <c r="U23" s="7" t="s">
        <v>72</v>
      </c>
      <c r="V23" s="7" t="s">
        <v>195</v>
      </c>
    </row>
    <row r="24" spans="1:22" s="4" customFormat="1" x14ac:dyDescent="0.3">
      <c r="A24" s="4">
        <v>4</v>
      </c>
      <c r="C24" s="4" t="str">
        <f t="shared" si="4"/>
        <v>00010100</v>
      </c>
      <c r="D24" s="26" t="s">
        <v>52</v>
      </c>
      <c r="E24" s="26" t="s">
        <v>54</v>
      </c>
      <c r="F24" s="6" t="s">
        <v>104</v>
      </c>
      <c r="G24" s="7" t="str">
        <f t="shared" si="5"/>
        <v>00010100</v>
      </c>
      <c r="H24" s="7" t="str">
        <f t="shared" si="1"/>
        <v>00</v>
      </c>
      <c r="I24" s="7" t="s">
        <v>70</v>
      </c>
      <c r="J24" s="7">
        <v>11</v>
      </c>
      <c r="K24" s="7">
        <v>1</v>
      </c>
      <c r="L24" s="7">
        <v>1</v>
      </c>
      <c r="M24" s="7" t="str">
        <f>DEC2BIN(1,4)</f>
        <v>0001</v>
      </c>
      <c r="N24" s="7" t="str">
        <f>DEC2BIN(170,8)</f>
        <v>10101010</v>
      </c>
      <c r="O24" s="7" t="str">
        <f>DEC2BIN(85,8)</f>
        <v>01010101</v>
      </c>
      <c r="P24" s="7">
        <v>0</v>
      </c>
      <c r="Q24" s="7">
        <v>0</v>
      </c>
      <c r="R24" s="7" t="s">
        <v>231</v>
      </c>
      <c r="S24" s="7">
        <v>0</v>
      </c>
      <c r="T24" s="7" t="s">
        <v>70</v>
      </c>
      <c r="U24" s="7" t="s">
        <v>72</v>
      </c>
      <c r="V24" s="7" t="s">
        <v>196</v>
      </c>
    </row>
    <row r="25" spans="1:22" s="4" customFormat="1" x14ac:dyDescent="0.3">
      <c r="A25" s="4">
        <v>5</v>
      </c>
      <c r="C25" s="4" t="str">
        <f t="shared" si="4"/>
        <v>00010101</v>
      </c>
      <c r="D25" s="26"/>
      <c r="E25" s="26"/>
      <c r="F25" s="6" t="s">
        <v>104</v>
      </c>
      <c r="G25" s="7" t="str">
        <f t="shared" si="5"/>
        <v>00010101</v>
      </c>
      <c r="H25" s="7" t="str">
        <f t="shared" si="1"/>
        <v>00</v>
      </c>
      <c r="I25" s="7" t="s">
        <v>70</v>
      </c>
      <c r="J25" s="7">
        <v>11</v>
      </c>
      <c r="K25" s="7">
        <v>1</v>
      </c>
      <c r="L25" s="7">
        <v>1</v>
      </c>
      <c r="M25" s="7" t="str">
        <f t="shared" ref="M25" si="6">DEC2BIN(1,4)</f>
        <v>0001</v>
      </c>
      <c r="N25" s="7" t="str">
        <f>DEC2BIN(85,8)</f>
        <v>01010101</v>
      </c>
      <c r="O25" s="7" t="str">
        <f>DEC2BIN(170,8)</f>
        <v>10101010</v>
      </c>
      <c r="P25" s="7">
        <v>0</v>
      </c>
      <c r="Q25" s="7">
        <v>0</v>
      </c>
      <c r="R25" s="19" t="s">
        <v>232</v>
      </c>
      <c r="S25" s="7">
        <v>1</v>
      </c>
      <c r="T25" s="7" t="s">
        <v>70</v>
      </c>
      <c r="U25" s="7" t="s">
        <v>72</v>
      </c>
      <c r="V25" s="7" t="s">
        <v>197</v>
      </c>
    </row>
    <row r="26" spans="1:22" s="4" customFormat="1" x14ac:dyDescent="0.3">
      <c r="A26" s="4">
        <v>6</v>
      </c>
      <c r="C26" s="4" t="str">
        <f t="shared" si="4"/>
        <v>00010110</v>
      </c>
      <c r="D26" s="26" t="s">
        <v>53</v>
      </c>
      <c r="E26" s="26" t="s">
        <v>55</v>
      </c>
      <c r="F26" s="6" t="s">
        <v>104</v>
      </c>
      <c r="G26" s="7" t="str">
        <f t="shared" si="5"/>
        <v>00010110</v>
      </c>
      <c r="H26" s="7" t="str">
        <f t="shared" si="1"/>
        <v>00</v>
      </c>
      <c r="I26" s="7" t="s">
        <v>70</v>
      </c>
      <c r="J26" s="7">
        <v>11</v>
      </c>
      <c r="K26" s="7">
        <v>1</v>
      </c>
      <c r="L26" s="7">
        <v>1</v>
      </c>
      <c r="M26" s="7" t="str">
        <f>DEC2BIN(3,4)</f>
        <v>0011</v>
      </c>
      <c r="N26" s="7" t="str">
        <f>DEC2BIN(170,8)</f>
        <v>10101010</v>
      </c>
      <c r="O26" s="7" t="str">
        <f>DEC2BIN(85,8)</f>
        <v>01010101</v>
      </c>
      <c r="P26" s="7">
        <v>1</v>
      </c>
      <c r="Q26" s="7">
        <v>0</v>
      </c>
      <c r="R26" s="19" t="s">
        <v>233</v>
      </c>
      <c r="S26" s="7">
        <v>0</v>
      </c>
      <c r="T26" s="7" t="s">
        <v>70</v>
      </c>
      <c r="U26" s="7" t="s">
        <v>72</v>
      </c>
      <c r="V26" s="7" t="s">
        <v>198</v>
      </c>
    </row>
    <row r="27" spans="1:22" s="4" customFormat="1" x14ac:dyDescent="0.3">
      <c r="A27" s="4">
        <v>7</v>
      </c>
      <c r="C27" s="4" t="str">
        <f t="shared" si="4"/>
        <v>00010111</v>
      </c>
      <c r="D27" s="26"/>
      <c r="E27" s="26"/>
      <c r="F27" s="6" t="s">
        <v>104</v>
      </c>
      <c r="G27" s="7" t="str">
        <f t="shared" si="5"/>
        <v>00010111</v>
      </c>
      <c r="H27" s="7" t="str">
        <f t="shared" si="1"/>
        <v>00</v>
      </c>
      <c r="I27" s="7" t="s">
        <v>70</v>
      </c>
      <c r="J27" s="7">
        <v>11</v>
      </c>
      <c r="K27" s="7">
        <v>1</v>
      </c>
      <c r="L27" s="7">
        <v>1</v>
      </c>
      <c r="M27" s="7" t="str">
        <f>DEC2BIN(3,4)</f>
        <v>0011</v>
      </c>
      <c r="N27" s="7" t="s">
        <v>129</v>
      </c>
      <c r="O27" s="7" t="s">
        <v>130</v>
      </c>
      <c r="P27" s="7">
        <v>1</v>
      </c>
      <c r="Q27" s="7">
        <v>0</v>
      </c>
      <c r="R27" s="19" t="s">
        <v>234</v>
      </c>
      <c r="S27" s="7">
        <v>1</v>
      </c>
      <c r="T27" s="7" t="s">
        <v>70</v>
      </c>
      <c r="U27" s="7" t="s">
        <v>72</v>
      </c>
      <c r="V27" s="7" t="s">
        <v>199</v>
      </c>
    </row>
    <row r="28" spans="1:22" s="4" customFormat="1" ht="13.8" customHeight="1" x14ac:dyDescent="0.3">
      <c r="A28" s="4">
        <v>8</v>
      </c>
      <c r="C28" s="4" t="str">
        <f t="shared" si="4"/>
        <v>00011000</v>
      </c>
      <c r="D28" s="4" t="s">
        <v>56</v>
      </c>
      <c r="E28" s="4" t="s">
        <v>66</v>
      </c>
      <c r="F28" s="6" t="s">
        <v>104</v>
      </c>
      <c r="G28" s="7" t="str">
        <f t="shared" si="5"/>
        <v>00011000</v>
      </c>
      <c r="H28" s="7" t="str">
        <f t="shared" si="1"/>
        <v>00</v>
      </c>
      <c r="I28" s="7" t="s">
        <v>70</v>
      </c>
      <c r="J28" s="7" t="s">
        <v>93</v>
      </c>
      <c r="K28" s="7">
        <v>1</v>
      </c>
      <c r="L28" s="7">
        <v>1</v>
      </c>
      <c r="M28" s="7" t="str">
        <f>DEC2BIN(4,4)</f>
        <v>0100</v>
      </c>
      <c r="N28" s="7" t="str">
        <f>DEC2BIN(55,8)</f>
        <v>00110111</v>
      </c>
      <c r="O28" s="7" t="str">
        <f>DEC2BIN(0,8)</f>
        <v>00000000</v>
      </c>
      <c r="P28" s="7">
        <v>1</v>
      </c>
      <c r="Q28" s="7">
        <v>0</v>
      </c>
      <c r="R28" s="7" t="s">
        <v>235</v>
      </c>
      <c r="S28" s="7" t="s">
        <v>70</v>
      </c>
      <c r="T28" s="7" t="s">
        <v>70</v>
      </c>
      <c r="U28" s="7" t="s">
        <v>72</v>
      </c>
      <c r="V28" s="7" t="s">
        <v>200</v>
      </c>
    </row>
    <row r="29" spans="1:22" s="4" customFormat="1" x14ac:dyDescent="0.3">
      <c r="A29" s="4">
        <v>9</v>
      </c>
      <c r="C29" s="4" t="str">
        <f t="shared" si="4"/>
        <v>00011001</v>
      </c>
      <c r="D29" s="4" t="s">
        <v>57</v>
      </c>
      <c r="E29" s="4" t="s">
        <v>68</v>
      </c>
      <c r="F29" s="6" t="s">
        <v>104</v>
      </c>
      <c r="G29" s="7" t="str">
        <f t="shared" si="5"/>
        <v>00011001</v>
      </c>
      <c r="H29" s="7" t="str">
        <f t="shared" si="1"/>
        <v>00</v>
      </c>
      <c r="I29" s="7" t="s">
        <v>70</v>
      </c>
      <c r="J29" s="7" t="s">
        <v>94</v>
      </c>
      <c r="K29" s="7">
        <v>1</v>
      </c>
      <c r="L29" s="7">
        <v>1</v>
      </c>
      <c r="M29" s="7" t="str">
        <f>DEC2BIN(6,4)</f>
        <v>0110</v>
      </c>
      <c r="N29" s="7" t="str">
        <f t="shared" ref="N29:O31" si="7">DEC2BIN(0,8)</f>
        <v>00000000</v>
      </c>
      <c r="O29" s="7" t="str">
        <f>DEC2BIN(126,8)</f>
        <v>01111110</v>
      </c>
      <c r="P29" s="7">
        <v>1</v>
      </c>
      <c r="Q29" s="7">
        <v>0</v>
      </c>
      <c r="R29" s="7" t="s">
        <v>236</v>
      </c>
      <c r="S29" s="7" t="s">
        <v>70</v>
      </c>
      <c r="T29" s="7" t="s">
        <v>70</v>
      </c>
      <c r="U29" s="7" t="s">
        <v>72</v>
      </c>
      <c r="V29" s="7" t="s">
        <v>201</v>
      </c>
    </row>
    <row r="30" spans="1:22" s="4" customFormat="1" x14ac:dyDescent="0.3">
      <c r="A30" s="4">
        <v>10</v>
      </c>
      <c r="C30" s="4" t="str">
        <f t="shared" si="4"/>
        <v>00011010</v>
      </c>
      <c r="D30" s="4" t="s">
        <v>58</v>
      </c>
      <c r="E30" s="4" t="s">
        <v>67</v>
      </c>
      <c r="F30" s="6" t="s">
        <v>104</v>
      </c>
      <c r="G30" s="7" t="str">
        <f t="shared" si="5"/>
        <v>00011010</v>
      </c>
      <c r="H30" s="7" t="str">
        <f t="shared" si="1"/>
        <v>00</v>
      </c>
      <c r="I30" s="7" t="s">
        <v>70</v>
      </c>
      <c r="J30" s="7" t="s">
        <v>93</v>
      </c>
      <c r="K30" s="7">
        <v>1</v>
      </c>
      <c r="L30" s="7">
        <v>1</v>
      </c>
      <c r="M30" s="7" t="str">
        <f>DEC2BIN(5,4)</f>
        <v>0101</v>
      </c>
      <c r="N30" s="7" t="str">
        <f>DEC2BIN(55,8)</f>
        <v>00110111</v>
      </c>
      <c r="O30" s="7" t="str">
        <f t="shared" si="7"/>
        <v>00000000</v>
      </c>
      <c r="P30" s="7">
        <v>1</v>
      </c>
      <c r="Q30" s="7">
        <v>0</v>
      </c>
      <c r="R30" s="7" t="s">
        <v>237</v>
      </c>
      <c r="S30" s="7" t="s">
        <v>70</v>
      </c>
      <c r="T30" s="7" t="s">
        <v>70</v>
      </c>
      <c r="U30" s="7" t="s">
        <v>72</v>
      </c>
      <c r="V30" s="7" t="s">
        <v>202</v>
      </c>
    </row>
    <row r="31" spans="1:22" s="4" customFormat="1" x14ac:dyDescent="0.3">
      <c r="A31" s="4">
        <v>11</v>
      </c>
      <c r="C31" s="4" t="str">
        <f t="shared" si="4"/>
        <v>00011011</v>
      </c>
      <c r="D31" s="4" t="s">
        <v>59</v>
      </c>
      <c r="E31" s="4" t="s">
        <v>69</v>
      </c>
      <c r="F31" s="6" t="s">
        <v>104</v>
      </c>
      <c r="G31" s="7" t="str">
        <f t="shared" si="5"/>
        <v>00011011</v>
      </c>
      <c r="H31" s="7" t="str">
        <f t="shared" si="1"/>
        <v>00</v>
      </c>
      <c r="I31" s="7" t="s">
        <v>70</v>
      </c>
      <c r="J31" s="7" t="s">
        <v>94</v>
      </c>
      <c r="K31" s="7">
        <v>1</v>
      </c>
      <c r="L31" s="7">
        <v>1</v>
      </c>
      <c r="M31" s="7" t="str">
        <f>DEC2BIN(7,4)</f>
        <v>0111</v>
      </c>
      <c r="N31" s="7" t="str">
        <f t="shared" si="7"/>
        <v>00000000</v>
      </c>
      <c r="O31" s="7" t="str">
        <f>DEC2BIN(126,8)</f>
        <v>01111110</v>
      </c>
      <c r="P31" s="7">
        <v>1</v>
      </c>
      <c r="Q31" s="7">
        <v>0</v>
      </c>
      <c r="R31" s="7" t="s">
        <v>238</v>
      </c>
      <c r="S31" s="7" t="s">
        <v>70</v>
      </c>
      <c r="T31" s="7" t="s">
        <v>70</v>
      </c>
      <c r="U31" s="7" t="s">
        <v>72</v>
      </c>
      <c r="V31" s="7" t="s">
        <v>203</v>
      </c>
    </row>
    <row r="32" spans="1:22" s="4" customFormat="1" x14ac:dyDescent="0.3">
      <c r="A32" s="4">
        <v>12</v>
      </c>
      <c r="C32" s="4" t="str">
        <f t="shared" si="4"/>
        <v>00011100</v>
      </c>
      <c r="D32" s="26" t="s">
        <v>60</v>
      </c>
      <c r="E32" s="4" t="s">
        <v>61</v>
      </c>
      <c r="F32" s="6" t="s">
        <v>104</v>
      </c>
      <c r="G32" s="7" t="str">
        <f t="shared" si="5"/>
        <v>00011100</v>
      </c>
      <c r="H32" s="7" t="str">
        <f t="shared" si="1"/>
        <v>00</v>
      </c>
      <c r="I32" s="7" t="s">
        <v>70</v>
      </c>
      <c r="J32" s="7">
        <v>11</v>
      </c>
      <c r="K32" s="7">
        <v>1</v>
      </c>
      <c r="L32" s="7">
        <v>1</v>
      </c>
      <c r="M32" s="7" t="str">
        <f>DEC2BIN(8,4)</f>
        <v>1000</v>
      </c>
      <c r="N32" s="7" t="str">
        <f>DEC2BIN(45,8)</f>
        <v>00101101</v>
      </c>
      <c r="O32" s="7" t="str">
        <f>DEC2BIN(45,8)</f>
        <v>00101101</v>
      </c>
      <c r="P32" s="7">
        <v>0</v>
      </c>
      <c r="Q32" s="7">
        <v>0</v>
      </c>
      <c r="R32" s="7" t="s">
        <v>220</v>
      </c>
      <c r="S32" s="7" t="s">
        <v>70</v>
      </c>
      <c r="T32" s="7" t="s">
        <v>70</v>
      </c>
      <c r="U32" s="7" t="str">
        <f>DEC2BIN(4,3)</f>
        <v>100</v>
      </c>
      <c r="V32" s="7" t="s">
        <v>204</v>
      </c>
    </row>
    <row r="33" spans="1:22" s="4" customFormat="1" x14ac:dyDescent="0.3">
      <c r="A33" s="4">
        <v>13</v>
      </c>
      <c r="C33" s="4" t="str">
        <f t="shared" si="4"/>
        <v>00011101</v>
      </c>
      <c r="D33" s="26"/>
      <c r="E33" s="4" t="s">
        <v>62</v>
      </c>
      <c r="F33" s="6" t="s">
        <v>104</v>
      </c>
      <c r="G33" s="7" t="str">
        <f t="shared" si="5"/>
        <v>00011101</v>
      </c>
      <c r="H33" s="7" t="str">
        <f t="shared" si="1"/>
        <v>00</v>
      </c>
      <c r="I33" s="7" t="s">
        <v>70</v>
      </c>
      <c r="J33" s="7">
        <v>11</v>
      </c>
      <c r="K33" s="7">
        <v>1</v>
      </c>
      <c r="L33" s="7">
        <v>1</v>
      </c>
      <c r="M33" s="7" t="str">
        <f t="shared" ref="M33:M34" si="8">DEC2BIN(8,4)</f>
        <v>1000</v>
      </c>
      <c r="N33" s="7" t="str">
        <f>DEC2BIN(88,8)</f>
        <v>01011000</v>
      </c>
      <c r="O33" s="7" t="str">
        <f>DEC2BIN(5,8)</f>
        <v>00000101</v>
      </c>
      <c r="P33" s="7">
        <v>0</v>
      </c>
      <c r="Q33" s="7">
        <v>0</v>
      </c>
      <c r="R33" s="7" t="s">
        <v>220</v>
      </c>
      <c r="S33" s="7" t="s">
        <v>70</v>
      </c>
      <c r="T33" s="7" t="s">
        <v>70</v>
      </c>
      <c r="U33" s="7" t="str">
        <f>DEC2BIN(2,3)</f>
        <v>010</v>
      </c>
      <c r="V33" s="7" t="s">
        <v>205</v>
      </c>
    </row>
    <row r="34" spans="1:22" s="4" customFormat="1" x14ac:dyDescent="0.3">
      <c r="A34" s="4">
        <v>14</v>
      </c>
      <c r="C34" s="4" t="str">
        <f t="shared" si="4"/>
        <v>00011110</v>
      </c>
      <c r="D34" s="26"/>
      <c r="E34" s="4" t="s">
        <v>63</v>
      </c>
      <c r="F34" s="6" t="s">
        <v>104</v>
      </c>
      <c r="G34" s="7" t="str">
        <f t="shared" si="5"/>
        <v>00011110</v>
      </c>
      <c r="H34" s="7" t="str">
        <f t="shared" si="1"/>
        <v>00</v>
      </c>
      <c r="I34" s="7" t="s">
        <v>70</v>
      </c>
      <c r="J34" s="7">
        <v>11</v>
      </c>
      <c r="K34" s="7">
        <v>1</v>
      </c>
      <c r="L34" s="7">
        <v>1</v>
      </c>
      <c r="M34" s="7" t="str">
        <f t="shared" si="8"/>
        <v>1000</v>
      </c>
      <c r="N34" s="7" t="str">
        <f>DEC2BIN(10,8)</f>
        <v>00001010</v>
      </c>
      <c r="O34" s="7" t="str">
        <f>DEC2BIN(70,8)</f>
        <v>01000110</v>
      </c>
      <c r="P34" s="7">
        <v>0</v>
      </c>
      <c r="Q34" s="7">
        <v>0</v>
      </c>
      <c r="R34" s="7" t="s">
        <v>220</v>
      </c>
      <c r="S34" s="7" t="s">
        <v>70</v>
      </c>
      <c r="T34" s="7" t="s">
        <v>70</v>
      </c>
      <c r="U34" s="7" t="str">
        <f>DEC2BIN(1,3)</f>
        <v>001</v>
      </c>
      <c r="V34" s="7" t="s">
        <v>206</v>
      </c>
    </row>
    <row r="35" spans="1:22" s="4" customFormat="1" x14ac:dyDescent="0.3">
      <c r="A35" s="4">
        <v>15</v>
      </c>
      <c r="C35" s="4" t="str">
        <f t="shared" si="4"/>
        <v>00011111</v>
      </c>
      <c r="D35" s="4" t="s">
        <v>73</v>
      </c>
      <c r="E35" s="4" t="s">
        <v>77</v>
      </c>
      <c r="F35" s="6" t="s">
        <v>104</v>
      </c>
      <c r="G35" s="7" t="str">
        <f t="shared" si="5"/>
        <v>00011111</v>
      </c>
      <c r="H35" s="7" t="s">
        <v>71</v>
      </c>
      <c r="I35" s="7" t="s">
        <v>70</v>
      </c>
      <c r="J35" s="7" t="s">
        <v>75</v>
      </c>
      <c r="K35" s="7" t="s">
        <v>74</v>
      </c>
      <c r="L35" s="7" t="s">
        <v>74</v>
      </c>
      <c r="M35" s="7" t="s">
        <v>76</v>
      </c>
      <c r="N35" s="7" t="s">
        <v>78</v>
      </c>
      <c r="O35" s="7" t="s">
        <v>79</v>
      </c>
      <c r="P35" s="7" t="s">
        <v>70</v>
      </c>
      <c r="Q35" s="7" t="s">
        <v>70</v>
      </c>
      <c r="R35" s="7" t="s">
        <v>222</v>
      </c>
      <c r="S35" s="7" t="s">
        <v>70</v>
      </c>
      <c r="T35" s="7" t="s">
        <v>70</v>
      </c>
      <c r="U35" s="7" t="s">
        <v>72</v>
      </c>
      <c r="V35" s="7" t="s">
        <v>207</v>
      </c>
    </row>
    <row r="36" spans="1:22" s="4" customFormat="1" x14ac:dyDescent="0.3">
      <c r="A36" s="4">
        <v>16</v>
      </c>
      <c r="C36" s="4" t="str">
        <f t="shared" si="4"/>
        <v>00100000</v>
      </c>
      <c r="D36" s="4" t="s">
        <v>80</v>
      </c>
      <c r="E36" s="4" t="s">
        <v>81</v>
      </c>
      <c r="F36" s="6" t="s">
        <v>104</v>
      </c>
      <c r="G36" s="7" t="str">
        <f t="shared" si="5"/>
        <v>00100000</v>
      </c>
      <c r="H36" s="7" t="s">
        <v>71</v>
      </c>
      <c r="I36" s="7" t="s">
        <v>70</v>
      </c>
      <c r="J36" s="7" t="s">
        <v>75</v>
      </c>
      <c r="K36" s="7" t="s">
        <v>74</v>
      </c>
      <c r="L36" s="7" t="s">
        <v>74</v>
      </c>
      <c r="M36" s="7" t="s">
        <v>82</v>
      </c>
      <c r="N36" s="7" t="s">
        <v>83</v>
      </c>
      <c r="O36" s="7" t="s">
        <v>78</v>
      </c>
      <c r="P36" s="7" t="s">
        <v>70</v>
      </c>
      <c r="Q36" s="7" t="s">
        <v>70</v>
      </c>
      <c r="R36" s="7" t="s">
        <v>239</v>
      </c>
      <c r="S36" s="7" t="s">
        <v>70</v>
      </c>
      <c r="T36" s="7" t="s">
        <v>70</v>
      </c>
      <c r="U36" s="7" t="s">
        <v>72</v>
      </c>
      <c r="V36" s="7" t="s">
        <v>208</v>
      </c>
    </row>
    <row r="37" spans="1:22" s="4" customFormat="1" x14ac:dyDescent="0.3">
      <c r="A37" s="4">
        <v>17</v>
      </c>
      <c r="C37" s="4" t="str">
        <f t="shared" si="4"/>
        <v>00100001</v>
      </c>
      <c r="D37" s="4" t="s">
        <v>84</v>
      </c>
      <c r="E37" s="4" t="s">
        <v>97</v>
      </c>
      <c r="F37" s="6" t="s">
        <v>104</v>
      </c>
      <c r="G37" s="7" t="str">
        <f t="shared" si="5"/>
        <v>00100001</v>
      </c>
      <c r="H37" s="7" t="s">
        <v>71</v>
      </c>
      <c r="I37" s="7" t="s">
        <v>70</v>
      </c>
      <c r="J37" s="7" t="s">
        <v>93</v>
      </c>
      <c r="K37" s="7" t="s">
        <v>74</v>
      </c>
      <c r="L37" s="7" t="s">
        <v>74</v>
      </c>
      <c r="M37" s="7" t="s">
        <v>88</v>
      </c>
      <c r="N37" s="7" t="s">
        <v>92</v>
      </c>
      <c r="O37" s="7" t="s">
        <v>95</v>
      </c>
      <c r="P37" s="7" t="s">
        <v>70</v>
      </c>
      <c r="Q37" s="7" t="s">
        <v>70</v>
      </c>
      <c r="R37" s="7" t="s">
        <v>219</v>
      </c>
      <c r="S37" s="7" t="s">
        <v>70</v>
      </c>
      <c r="T37" s="7" t="s">
        <v>74</v>
      </c>
      <c r="U37" s="7" t="s">
        <v>72</v>
      </c>
      <c r="V37" s="7" t="s">
        <v>209</v>
      </c>
    </row>
    <row r="38" spans="1:22" s="4" customFormat="1" x14ac:dyDescent="0.3">
      <c r="A38" s="4">
        <v>18</v>
      </c>
      <c r="C38" s="4" t="str">
        <f t="shared" si="4"/>
        <v>00100010</v>
      </c>
      <c r="D38" s="4" t="s">
        <v>85</v>
      </c>
      <c r="E38" s="4" t="s">
        <v>97</v>
      </c>
      <c r="F38" s="6" t="s">
        <v>104</v>
      </c>
      <c r="G38" s="7" t="str">
        <f t="shared" si="5"/>
        <v>00100010</v>
      </c>
      <c r="H38" s="7" t="s">
        <v>71</v>
      </c>
      <c r="I38" s="7" t="s">
        <v>70</v>
      </c>
      <c r="J38" s="7" t="s">
        <v>94</v>
      </c>
      <c r="K38" s="7" t="s">
        <v>74</v>
      </c>
      <c r="L38" s="7" t="s">
        <v>74</v>
      </c>
      <c r="M38" s="7" t="s">
        <v>89</v>
      </c>
      <c r="N38" s="7" t="s">
        <v>95</v>
      </c>
      <c r="O38" s="7" t="s">
        <v>92</v>
      </c>
      <c r="P38" s="7" t="s">
        <v>70</v>
      </c>
      <c r="Q38" s="7" t="s">
        <v>70</v>
      </c>
      <c r="R38" s="7" t="s">
        <v>219</v>
      </c>
      <c r="S38" s="7" t="s">
        <v>70</v>
      </c>
      <c r="T38" s="7" t="s">
        <v>74</v>
      </c>
      <c r="U38" s="7" t="s">
        <v>72</v>
      </c>
      <c r="V38" s="7" t="s">
        <v>210</v>
      </c>
    </row>
    <row r="39" spans="1:22" s="4" customFormat="1" x14ac:dyDescent="0.3">
      <c r="A39" s="4">
        <v>19</v>
      </c>
      <c r="C39" s="4" t="str">
        <f t="shared" si="4"/>
        <v>00100011</v>
      </c>
      <c r="D39" s="4" t="s">
        <v>86</v>
      </c>
      <c r="E39" s="4" t="s">
        <v>98</v>
      </c>
      <c r="F39" s="6" t="s">
        <v>104</v>
      </c>
      <c r="G39" s="7" t="str">
        <f t="shared" si="5"/>
        <v>00100011</v>
      </c>
      <c r="H39" s="7" t="s">
        <v>71</v>
      </c>
      <c r="I39" s="7" t="s">
        <v>70</v>
      </c>
      <c r="J39" s="7" t="s">
        <v>93</v>
      </c>
      <c r="K39" s="7" t="s">
        <v>74</v>
      </c>
      <c r="L39" s="7" t="s">
        <v>74</v>
      </c>
      <c r="M39" s="7" t="s">
        <v>90</v>
      </c>
      <c r="N39" s="7" t="s">
        <v>95</v>
      </c>
      <c r="O39" s="7" t="s">
        <v>95</v>
      </c>
      <c r="P39" s="7" t="s">
        <v>70</v>
      </c>
      <c r="Q39" s="7" t="s">
        <v>70</v>
      </c>
      <c r="R39" s="7" t="s">
        <v>240</v>
      </c>
      <c r="S39" s="7" t="s">
        <v>74</v>
      </c>
      <c r="T39" s="7" t="s">
        <v>70</v>
      </c>
      <c r="U39" s="7" t="s">
        <v>72</v>
      </c>
      <c r="V39" s="7" t="s">
        <v>211</v>
      </c>
    </row>
    <row r="40" spans="1:22" s="4" customFormat="1" x14ac:dyDescent="0.3">
      <c r="A40" s="4">
        <v>20</v>
      </c>
      <c r="C40" s="4" t="str">
        <f t="shared" si="4"/>
        <v>00100100</v>
      </c>
      <c r="D40" s="4" t="s">
        <v>87</v>
      </c>
      <c r="E40" s="4" t="s">
        <v>98</v>
      </c>
      <c r="F40" s="6" t="s">
        <v>104</v>
      </c>
      <c r="G40" s="7" t="str">
        <f t="shared" si="5"/>
        <v>00100100</v>
      </c>
      <c r="H40" s="7" t="s">
        <v>71</v>
      </c>
      <c r="I40" s="7" t="s">
        <v>70</v>
      </c>
      <c r="J40" s="7" t="s">
        <v>94</v>
      </c>
      <c r="K40" s="7" t="s">
        <v>74</v>
      </c>
      <c r="L40" s="7" t="s">
        <v>74</v>
      </c>
      <c r="M40" s="7" t="s">
        <v>91</v>
      </c>
      <c r="N40" s="7" t="s">
        <v>95</v>
      </c>
      <c r="O40" s="7" t="s">
        <v>95</v>
      </c>
      <c r="P40" s="7" t="s">
        <v>70</v>
      </c>
      <c r="Q40" s="7" t="s">
        <v>70</v>
      </c>
      <c r="R40" s="7" t="s">
        <v>240</v>
      </c>
      <c r="S40" s="7" t="s">
        <v>74</v>
      </c>
      <c r="T40" s="7" t="s">
        <v>70</v>
      </c>
      <c r="U40" s="7" t="s">
        <v>72</v>
      </c>
      <c r="V40" s="7" t="s">
        <v>212</v>
      </c>
    </row>
    <row r="41" spans="1:22" s="4" customFormat="1" x14ac:dyDescent="0.3">
      <c r="A41" s="4">
        <v>21</v>
      </c>
      <c r="C41" s="4" t="str">
        <f>DEC2BIN(16 + A41,8)</f>
        <v>00100101</v>
      </c>
      <c r="D41" s="4" t="s">
        <v>96</v>
      </c>
      <c r="E41" s="4" t="s">
        <v>46</v>
      </c>
      <c r="F41" s="6" t="s">
        <v>104</v>
      </c>
      <c r="G41" s="7" t="s">
        <v>99</v>
      </c>
      <c r="H41" s="7" t="s">
        <v>71</v>
      </c>
      <c r="I41" s="7" t="s">
        <v>70</v>
      </c>
      <c r="J41" s="7" t="s">
        <v>71</v>
      </c>
      <c r="K41" s="7" t="s">
        <v>74</v>
      </c>
      <c r="L41" s="7" t="s">
        <v>74</v>
      </c>
      <c r="M41" s="7" t="s">
        <v>100</v>
      </c>
      <c r="N41" s="7" t="s">
        <v>95</v>
      </c>
      <c r="O41" s="7" t="s">
        <v>95</v>
      </c>
      <c r="P41" s="7" t="s">
        <v>70</v>
      </c>
      <c r="Q41" s="7" t="s">
        <v>74</v>
      </c>
      <c r="R41" s="7" t="s">
        <v>220</v>
      </c>
      <c r="S41" s="7" t="s">
        <v>70</v>
      </c>
      <c r="T41" s="7" t="s">
        <v>70</v>
      </c>
      <c r="U41" s="7" t="s">
        <v>72</v>
      </c>
      <c r="V41" s="7" t="s">
        <v>213</v>
      </c>
    </row>
    <row r="42" spans="1:22" s="4" customFormat="1" x14ac:dyDescent="0.3">
      <c r="A42" s="4">
        <v>24</v>
      </c>
      <c r="C42" s="4" t="str">
        <f>DEC2BIN(16 + A42,8)</f>
        <v>00101000</v>
      </c>
      <c r="D42" s="4" t="s">
        <v>112</v>
      </c>
      <c r="E42" s="4" t="s">
        <v>292</v>
      </c>
      <c r="F42" s="6" t="s">
        <v>104</v>
      </c>
      <c r="G42" s="7" t="s">
        <v>110</v>
      </c>
      <c r="H42" s="7" t="s">
        <v>71</v>
      </c>
      <c r="I42" s="7" t="s">
        <v>70</v>
      </c>
      <c r="J42" s="7" t="s">
        <v>75</v>
      </c>
      <c r="K42" s="7" t="s">
        <v>74</v>
      </c>
      <c r="L42" s="7" t="s">
        <v>74</v>
      </c>
      <c r="M42" s="7" t="s">
        <v>114</v>
      </c>
      <c r="N42" s="7" t="s">
        <v>116</v>
      </c>
      <c r="O42" s="7" t="s">
        <v>107</v>
      </c>
      <c r="P42" s="7" t="s">
        <v>70</v>
      </c>
      <c r="Q42" s="7" t="s">
        <v>70</v>
      </c>
      <c r="R42" s="7" t="s">
        <v>273</v>
      </c>
      <c r="S42" s="7" t="s">
        <v>74</v>
      </c>
      <c r="T42" s="7" t="s">
        <v>74</v>
      </c>
      <c r="U42" s="7" t="s">
        <v>117</v>
      </c>
      <c r="V42" s="7" t="s">
        <v>241</v>
      </c>
    </row>
    <row r="43" spans="1:22" s="4" customFormat="1" x14ac:dyDescent="0.3">
      <c r="A43" s="4">
        <v>25</v>
      </c>
      <c r="C43" s="4" t="str">
        <f>DEC2BIN(16 + A43,8)</f>
        <v>00101001</v>
      </c>
      <c r="D43" s="4" t="s">
        <v>113</v>
      </c>
      <c r="E43" s="4" t="s">
        <v>292</v>
      </c>
      <c r="F43" s="6" t="s">
        <v>104</v>
      </c>
      <c r="G43" s="7" t="s">
        <v>111</v>
      </c>
      <c r="H43" s="7" t="s">
        <v>71</v>
      </c>
      <c r="I43" s="7" t="s">
        <v>70</v>
      </c>
      <c r="J43" s="7" t="s">
        <v>75</v>
      </c>
      <c r="K43" s="7" t="s">
        <v>74</v>
      </c>
      <c r="L43" s="7" t="s">
        <v>74</v>
      </c>
      <c r="M43" s="7" t="s">
        <v>115</v>
      </c>
      <c r="N43" s="7" t="s">
        <v>116</v>
      </c>
      <c r="O43" s="7" t="s">
        <v>107</v>
      </c>
      <c r="P43" s="7" t="s">
        <v>70</v>
      </c>
      <c r="Q43" s="7" t="s">
        <v>70</v>
      </c>
      <c r="R43" s="7" t="s">
        <v>272</v>
      </c>
      <c r="S43" s="7" t="s">
        <v>74</v>
      </c>
      <c r="T43" s="7" t="s">
        <v>74</v>
      </c>
      <c r="U43" s="7" t="s">
        <v>117</v>
      </c>
      <c r="V43" s="7" t="s">
        <v>242</v>
      </c>
    </row>
    <row r="44" spans="1:22" s="4" customFormat="1" x14ac:dyDescent="0.3">
      <c r="A44" s="4">
        <v>26</v>
      </c>
      <c r="C44" s="4" t="str">
        <f>DEC2BIN(16 + A44,8)</f>
        <v>00101010</v>
      </c>
      <c r="D44" s="4" t="s">
        <v>118</v>
      </c>
      <c r="E44" s="4" t="s">
        <v>291</v>
      </c>
      <c r="F44" s="6" t="s">
        <v>104</v>
      </c>
      <c r="G44" s="7" t="s">
        <v>119</v>
      </c>
      <c r="H44" s="7" t="s">
        <v>71</v>
      </c>
      <c r="I44" s="7" t="s">
        <v>70</v>
      </c>
      <c r="J44" s="7" t="s">
        <v>71</v>
      </c>
      <c r="K44" s="7" t="s">
        <v>70</v>
      </c>
      <c r="L44" s="7" t="s">
        <v>70</v>
      </c>
      <c r="M44" s="7" t="s">
        <v>109</v>
      </c>
      <c r="N44" s="7" t="s">
        <v>95</v>
      </c>
      <c r="O44" s="7" t="s">
        <v>95</v>
      </c>
      <c r="P44" s="7" t="s">
        <v>70</v>
      </c>
      <c r="Q44" s="7" t="s">
        <v>70</v>
      </c>
      <c r="R44" s="7" t="s">
        <v>220</v>
      </c>
      <c r="S44" s="7" t="s">
        <v>70</v>
      </c>
      <c r="T44" s="7" t="s">
        <v>70</v>
      </c>
      <c r="U44" s="7" t="s">
        <v>72</v>
      </c>
      <c r="V44" s="7" t="s">
        <v>243</v>
      </c>
    </row>
    <row r="45" spans="1:22" s="4" customFormat="1" x14ac:dyDescent="0.3">
      <c r="A45" s="4">
        <v>27</v>
      </c>
      <c r="C45" s="4" t="str">
        <f t="shared" ref="C45:C69" si="9">DEC2BIN(16 + A45,8)</f>
        <v>00101011</v>
      </c>
      <c r="D45" s="4" t="s">
        <v>126</v>
      </c>
      <c r="E45" s="4" t="s">
        <v>290</v>
      </c>
      <c r="F45" s="6" t="s">
        <v>104</v>
      </c>
      <c r="G45" s="7" t="s">
        <v>120</v>
      </c>
      <c r="H45" s="7" t="s">
        <v>71</v>
      </c>
      <c r="I45" s="7" t="s">
        <v>70</v>
      </c>
      <c r="J45" s="7" t="s">
        <v>75</v>
      </c>
      <c r="K45" s="7" t="s">
        <v>74</v>
      </c>
      <c r="L45" s="7" t="s">
        <v>70</v>
      </c>
      <c r="M45" s="7" t="s">
        <v>115</v>
      </c>
      <c r="N45" s="7" t="s">
        <v>123</v>
      </c>
      <c r="O45" s="7" t="s">
        <v>125</v>
      </c>
      <c r="P45" s="7" t="s">
        <v>70</v>
      </c>
      <c r="Q45" s="7" t="s">
        <v>74</v>
      </c>
      <c r="R45" s="7" t="s">
        <v>271</v>
      </c>
      <c r="S45" s="7" t="s">
        <v>70</v>
      </c>
      <c r="T45" s="7" t="s">
        <v>70</v>
      </c>
      <c r="U45" s="7" t="s">
        <v>72</v>
      </c>
      <c r="V45" s="7" t="s">
        <v>244</v>
      </c>
    </row>
    <row r="46" spans="1:22" s="4" customFormat="1" x14ac:dyDescent="0.3">
      <c r="A46" s="4">
        <v>28</v>
      </c>
      <c r="C46" s="4" t="str">
        <f t="shared" si="9"/>
        <v>00101100</v>
      </c>
      <c r="D46" s="4" t="s">
        <v>127</v>
      </c>
      <c r="E46" s="4" t="s">
        <v>289</v>
      </c>
      <c r="F46" s="6" t="s">
        <v>104</v>
      </c>
      <c r="G46" s="7" t="s">
        <v>121</v>
      </c>
      <c r="H46" s="7" t="s">
        <v>71</v>
      </c>
      <c r="I46" s="7" t="s">
        <v>70</v>
      </c>
      <c r="J46" s="7" t="s">
        <v>75</v>
      </c>
      <c r="K46" s="7" t="s">
        <v>74</v>
      </c>
      <c r="L46" s="7" t="s">
        <v>70</v>
      </c>
      <c r="M46" s="7" t="s">
        <v>122</v>
      </c>
      <c r="N46" s="7" t="s">
        <v>124</v>
      </c>
      <c r="O46" s="7" t="s">
        <v>125</v>
      </c>
      <c r="P46" s="7" t="s">
        <v>70</v>
      </c>
      <c r="Q46" s="7" t="s">
        <v>74</v>
      </c>
      <c r="R46" s="7" t="s">
        <v>221</v>
      </c>
      <c r="S46" s="7" t="s">
        <v>70</v>
      </c>
      <c r="T46" s="7" t="s">
        <v>70</v>
      </c>
      <c r="U46" s="7" t="s">
        <v>72</v>
      </c>
      <c r="V46" s="7" t="s">
        <v>245</v>
      </c>
    </row>
    <row r="47" spans="1:22" s="4" customFormat="1" x14ac:dyDescent="0.3">
      <c r="A47" s="4">
        <v>29</v>
      </c>
      <c r="C47" s="4" t="str">
        <f t="shared" si="9"/>
        <v>00101101</v>
      </c>
      <c r="D47" s="4" t="s">
        <v>132</v>
      </c>
      <c r="E47" s="4" t="s">
        <v>288</v>
      </c>
      <c r="F47" s="6" t="s">
        <v>104</v>
      </c>
      <c r="G47" s="7" t="s">
        <v>131</v>
      </c>
      <c r="H47" s="7" t="s">
        <v>71</v>
      </c>
      <c r="I47" s="7" t="s">
        <v>74</v>
      </c>
      <c r="J47" s="7" t="s">
        <v>94</v>
      </c>
      <c r="K47" s="7" t="s">
        <v>74</v>
      </c>
      <c r="L47" s="7" t="s">
        <v>74</v>
      </c>
      <c r="M47" s="7" t="s">
        <v>109</v>
      </c>
      <c r="N47" s="7" t="s">
        <v>92</v>
      </c>
      <c r="O47" s="7" t="s">
        <v>92</v>
      </c>
      <c r="P47" s="7" t="s">
        <v>70</v>
      </c>
      <c r="Q47" s="7" t="s">
        <v>70</v>
      </c>
      <c r="R47" s="7" t="s">
        <v>220</v>
      </c>
      <c r="S47" s="7" t="s">
        <v>70</v>
      </c>
      <c r="T47" s="7" t="s">
        <v>70</v>
      </c>
      <c r="U47" s="7" t="s">
        <v>72</v>
      </c>
      <c r="V47" s="7" t="s">
        <v>246</v>
      </c>
    </row>
    <row r="48" spans="1:22" s="4" customFormat="1" x14ac:dyDescent="0.3">
      <c r="A48" s="4">
        <v>30</v>
      </c>
      <c r="C48" s="4" t="str">
        <f t="shared" si="9"/>
        <v>00101110</v>
      </c>
      <c r="D48" s="4" t="s">
        <v>133</v>
      </c>
      <c r="E48" s="4" t="s">
        <v>287</v>
      </c>
      <c r="F48" s="6" t="s">
        <v>104</v>
      </c>
      <c r="G48" s="7" t="s">
        <v>134</v>
      </c>
      <c r="H48" s="7" t="s">
        <v>71</v>
      </c>
      <c r="I48" s="7" t="s">
        <v>70</v>
      </c>
      <c r="J48" s="7" t="s">
        <v>71</v>
      </c>
      <c r="K48" s="7" t="s">
        <v>74</v>
      </c>
      <c r="L48" s="7" t="s">
        <v>70</v>
      </c>
      <c r="M48" s="7" t="s">
        <v>109</v>
      </c>
      <c r="N48" s="7" t="s">
        <v>135</v>
      </c>
      <c r="O48" s="7" t="s">
        <v>116</v>
      </c>
      <c r="P48" s="7" t="s">
        <v>70</v>
      </c>
      <c r="Q48" s="7" t="s">
        <v>70</v>
      </c>
      <c r="R48" s="7" t="s">
        <v>220</v>
      </c>
      <c r="S48" s="7" t="s">
        <v>70</v>
      </c>
      <c r="T48" s="7" t="s">
        <v>70</v>
      </c>
      <c r="U48" s="7" t="s">
        <v>72</v>
      </c>
      <c r="V48" s="7" t="s">
        <v>247</v>
      </c>
    </row>
    <row r="49" spans="1:22" s="4" customFormat="1" x14ac:dyDescent="0.3">
      <c r="A49" s="4">
        <v>31</v>
      </c>
      <c r="C49" s="4" t="str">
        <f t="shared" si="9"/>
        <v>00101111</v>
      </c>
      <c r="D49" s="4" t="s">
        <v>136</v>
      </c>
      <c r="E49" s="4" t="s">
        <v>286</v>
      </c>
      <c r="F49" s="6" t="s">
        <v>104</v>
      </c>
      <c r="G49" s="7" t="s">
        <v>128</v>
      </c>
      <c r="H49" s="7" t="s">
        <v>71</v>
      </c>
      <c r="I49" s="7" t="s">
        <v>70</v>
      </c>
      <c r="J49" s="7" t="s">
        <v>137</v>
      </c>
      <c r="K49" s="7" t="s">
        <v>74</v>
      </c>
      <c r="L49" s="7" t="s">
        <v>74</v>
      </c>
      <c r="M49" s="7" t="s">
        <v>109</v>
      </c>
      <c r="N49" s="7" t="s">
        <v>95</v>
      </c>
      <c r="O49" s="7" t="s">
        <v>95</v>
      </c>
      <c r="P49" s="7" t="s">
        <v>70</v>
      </c>
      <c r="Q49" s="7" t="s">
        <v>74</v>
      </c>
      <c r="R49" s="7" t="s">
        <v>220</v>
      </c>
      <c r="S49" s="7" t="s">
        <v>70</v>
      </c>
      <c r="T49" s="7" t="s">
        <v>70</v>
      </c>
      <c r="U49" s="7" t="s">
        <v>72</v>
      </c>
      <c r="V49" s="7" t="s">
        <v>248</v>
      </c>
    </row>
    <row r="50" spans="1:22" s="4" customFormat="1" x14ac:dyDescent="0.3">
      <c r="A50" s="4">
        <v>32</v>
      </c>
      <c r="C50" s="4" t="str">
        <f t="shared" si="9"/>
        <v>00110000</v>
      </c>
      <c r="D50" s="4" t="s">
        <v>138</v>
      </c>
      <c r="E50" s="4" t="s">
        <v>285</v>
      </c>
      <c r="F50" s="6" t="s">
        <v>104</v>
      </c>
      <c r="G50" s="7" t="s">
        <v>139</v>
      </c>
      <c r="H50" s="7" t="s">
        <v>71</v>
      </c>
      <c r="I50" s="7" t="s">
        <v>74</v>
      </c>
      <c r="J50" s="7" t="s">
        <v>71</v>
      </c>
      <c r="K50" s="7" t="s">
        <v>74</v>
      </c>
      <c r="L50" s="7" t="s">
        <v>70</v>
      </c>
      <c r="M50" s="7" t="s">
        <v>82</v>
      </c>
      <c r="N50" s="7" t="s">
        <v>140</v>
      </c>
      <c r="O50" s="7" t="s">
        <v>140</v>
      </c>
      <c r="P50" s="7" t="s">
        <v>70</v>
      </c>
      <c r="Q50" s="7" t="s">
        <v>70</v>
      </c>
      <c r="R50" s="7" t="s">
        <v>220</v>
      </c>
      <c r="S50" s="7" t="s">
        <v>70</v>
      </c>
      <c r="T50" s="7" t="s">
        <v>70</v>
      </c>
      <c r="U50" s="7" t="s">
        <v>72</v>
      </c>
      <c r="V50" s="7" t="s">
        <v>249</v>
      </c>
    </row>
    <row r="51" spans="1:22" s="4" customFormat="1" x14ac:dyDescent="0.3">
      <c r="A51" s="4">
        <v>33</v>
      </c>
      <c r="C51" s="4" t="str">
        <f t="shared" si="9"/>
        <v>00110001</v>
      </c>
      <c r="D51" s="28" t="s">
        <v>168</v>
      </c>
      <c r="E51" s="4" t="s">
        <v>169</v>
      </c>
      <c r="F51" s="6" t="s">
        <v>104</v>
      </c>
      <c r="G51" s="7" t="s">
        <v>141</v>
      </c>
      <c r="H51" s="7" t="s">
        <v>71</v>
      </c>
      <c r="I51" s="7" t="s">
        <v>70</v>
      </c>
      <c r="J51" s="7" t="s">
        <v>75</v>
      </c>
      <c r="K51" s="7" t="s">
        <v>74</v>
      </c>
      <c r="L51" s="7" t="s">
        <v>74</v>
      </c>
      <c r="M51" s="7" t="s">
        <v>114</v>
      </c>
      <c r="N51" s="7" t="s">
        <v>148</v>
      </c>
      <c r="O51" s="7" t="s">
        <v>78</v>
      </c>
      <c r="P51" s="7" t="s">
        <v>70</v>
      </c>
      <c r="Q51" s="7" t="s">
        <v>70</v>
      </c>
      <c r="R51" s="7" t="s">
        <v>270</v>
      </c>
      <c r="S51" s="7" t="s">
        <v>70</v>
      </c>
      <c r="T51" s="7" t="s">
        <v>70</v>
      </c>
      <c r="U51" s="7" t="s">
        <v>149</v>
      </c>
      <c r="V51" s="7" t="s">
        <v>250</v>
      </c>
    </row>
    <row r="52" spans="1:22" s="4" customFormat="1" x14ac:dyDescent="0.3">
      <c r="A52" s="4">
        <v>34</v>
      </c>
      <c r="C52" s="4" t="str">
        <f t="shared" si="9"/>
        <v>00110010</v>
      </c>
      <c r="D52" s="28"/>
      <c r="E52" s="4" t="s">
        <v>143</v>
      </c>
      <c r="F52" s="6" t="s">
        <v>104</v>
      </c>
      <c r="G52" s="7" t="s">
        <v>142</v>
      </c>
      <c r="H52" s="7" t="s">
        <v>71</v>
      </c>
      <c r="I52" s="7" t="s">
        <v>70</v>
      </c>
      <c r="J52" s="7" t="s">
        <v>75</v>
      </c>
      <c r="K52" s="7" t="s">
        <v>74</v>
      </c>
      <c r="L52" s="7" t="s">
        <v>74</v>
      </c>
      <c r="M52" s="7" t="s">
        <v>114</v>
      </c>
      <c r="N52" s="7" t="s">
        <v>79</v>
      </c>
      <c r="O52" s="7" t="s">
        <v>150</v>
      </c>
      <c r="P52" s="7" t="s">
        <v>70</v>
      </c>
      <c r="Q52" s="7" t="s">
        <v>70</v>
      </c>
      <c r="R52" s="7" t="s">
        <v>240</v>
      </c>
      <c r="S52" s="7" t="s">
        <v>70</v>
      </c>
      <c r="T52" s="7" t="s">
        <v>74</v>
      </c>
      <c r="U52" s="7" t="s">
        <v>149</v>
      </c>
      <c r="V52" s="7" t="s">
        <v>251</v>
      </c>
    </row>
    <row r="53" spans="1:22" s="4" customFormat="1" x14ac:dyDescent="0.3">
      <c r="A53" s="4">
        <v>35</v>
      </c>
      <c r="C53" s="4" t="str">
        <f t="shared" si="9"/>
        <v>00110011</v>
      </c>
      <c r="D53" s="28"/>
      <c r="E53" s="4" t="s">
        <v>144</v>
      </c>
      <c r="F53" s="6" t="s">
        <v>104</v>
      </c>
      <c r="G53" s="7" t="s">
        <v>151</v>
      </c>
      <c r="H53" s="7" t="s">
        <v>71</v>
      </c>
      <c r="I53" s="7" t="s">
        <v>70</v>
      </c>
      <c r="J53" s="7" t="s">
        <v>75</v>
      </c>
      <c r="K53" s="7" t="s">
        <v>74</v>
      </c>
      <c r="L53" s="7" t="s">
        <v>74</v>
      </c>
      <c r="M53" s="7" t="s">
        <v>114</v>
      </c>
      <c r="N53" s="7" t="s">
        <v>150</v>
      </c>
      <c r="O53" s="7" t="s">
        <v>79</v>
      </c>
      <c r="P53" s="7" t="s">
        <v>70</v>
      </c>
      <c r="Q53" s="7" t="s">
        <v>70</v>
      </c>
      <c r="R53" s="7" t="s">
        <v>240</v>
      </c>
      <c r="S53" s="7" t="s">
        <v>70</v>
      </c>
      <c r="T53" s="7" t="s">
        <v>74</v>
      </c>
      <c r="U53" s="7" t="s">
        <v>117</v>
      </c>
      <c r="V53" s="7" t="s">
        <v>252</v>
      </c>
    </row>
    <row r="54" spans="1:22" s="4" customFormat="1" x14ac:dyDescent="0.3">
      <c r="A54" s="4">
        <v>36</v>
      </c>
      <c r="C54" s="4" t="str">
        <f t="shared" si="9"/>
        <v>00110100</v>
      </c>
      <c r="D54" s="28"/>
      <c r="E54" s="4" t="s">
        <v>145</v>
      </c>
      <c r="F54" s="6" t="s">
        <v>104</v>
      </c>
      <c r="G54" s="7" t="s">
        <v>152</v>
      </c>
      <c r="H54" s="7" t="s">
        <v>71</v>
      </c>
      <c r="I54" s="7" t="s">
        <v>70</v>
      </c>
      <c r="J54" s="7" t="s">
        <v>75</v>
      </c>
      <c r="K54" s="7" t="s">
        <v>74</v>
      </c>
      <c r="L54" s="7" t="s">
        <v>74</v>
      </c>
      <c r="M54" s="7" t="s">
        <v>114</v>
      </c>
      <c r="N54" s="7" t="s">
        <v>150</v>
      </c>
      <c r="O54" s="7" t="s">
        <v>160</v>
      </c>
      <c r="P54" s="7" t="s">
        <v>70</v>
      </c>
      <c r="Q54" s="7" t="s">
        <v>70</v>
      </c>
      <c r="R54" s="7" t="s">
        <v>267</v>
      </c>
      <c r="S54" s="7" t="s">
        <v>70</v>
      </c>
      <c r="T54" s="7" t="s">
        <v>74</v>
      </c>
      <c r="U54" s="7" t="s">
        <v>117</v>
      </c>
      <c r="V54" s="7" t="s">
        <v>253</v>
      </c>
    </row>
    <row r="55" spans="1:22" s="4" customFormat="1" x14ac:dyDescent="0.3">
      <c r="A55" s="4">
        <v>37</v>
      </c>
      <c r="C55" s="4" t="str">
        <f t="shared" si="9"/>
        <v>00110101</v>
      </c>
      <c r="D55" s="28"/>
      <c r="E55" s="4" t="s">
        <v>146</v>
      </c>
      <c r="F55" s="6" t="s">
        <v>104</v>
      </c>
      <c r="G55" s="7" t="s">
        <v>153</v>
      </c>
      <c r="H55" s="7" t="s">
        <v>71</v>
      </c>
      <c r="I55" s="7" t="s">
        <v>70</v>
      </c>
      <c r="J55" s="7" t="s">
        <v>75</v>
      </c>
      <c r="K55" s="7" t="s">
        <v>74</v>
      </c>
      <c r="L55" s="7" t="s">
        <v>74</v>
      </c>
      <c r="M55" s="7" t="s">
        <v>114</v>
      </c>
      <c r="N55" s="7" t="s">
        <v>135</v>
      </c>
      <c r="O55" s="7" t="s">
        <v>140</v>
      </c>
      <c r="P55" s="7" t="s">
        <v>70</v>
      </c>
      <c r="Q55" s="7" t="s">
        <v>70</v>
      </c>
      <c r="R55" s="7" t="s">
        <v>266</v>
      </c>
      <c r="S55" s="7" t="s">
        <v>74</v>
      </c>
      <c r="T55" s="7" t="s">
        <v>70</v>
      </c>
      <c r="U55" s="7" t="s">
        <v>149</v>
      </c>
      <c r="V55" s="7" t="s">
        <v>254</v>
      </c>
    </row>
    <row r="56" spans="1:22" s="4" customFormat="1" x14ac:dyDescent="0.3">
      <c r="A56" s="4">
        <v>38</v>
      </c>
      <c r="C56" s="4" t="str">
        <f t="shared" si="9"/>
        <v>00110110</v>
      </c>
      <c r="D56" s="28"/>
      <c r="E56" s="4" t="s">
        <v>147</v>
      </c>
      <c r="F56" s="6" t="s">
        <v>104</v>
      </c>
      <c r="G56" s="7" t="s">
        <v>105</v>
      </c>
      <c r="H56" s="7" t="s">
        <v>71</v>
      </c>
      <c r="I56" s="7" t="s">
        <v>70</v>
      </c>
      <c r="J56" s="7" t="s">
        <v>75</v>
      </c>
      <c r="K56" s="7" t="s">
        <v>74</v>
      </c>
      <c r="L56" s="7" t="s">
        <v>74</v>
      </c>
      <c r="M56" s="7" t="s">
        <v>114</v>
      </c>
      <c r="N56" s="7" t="s">
        <v>116</v>
      </c>
      <c r="O56" s="7" t="s">
        <v>116</v>
      </c>
      <c r="P56" s="7" t="s">
        <v>70</v>
      </c>
      <c r="Q56" s="7" t="s">
        <v>70</v>
      </c>
      <c r="R56" s="7" t="s">
        <v>219</v>
      </c>
      <c r="S56" s="7" t="s">
        <v>74</v>
      </c>
      <c r="T56" s="7" t="s">
        <v>74</v>
      </c>
      <c r="U56" s="7" t="s">
        <v>161</v>
      </c>
      <c r="V56" s="7" t="s">
        <v>255</v>
      </c>
    </row>
    <row r="57" spans="1:22" s="4" customFormat="1" x14ac:dyDescent="0.3">
      <c r="A57" s="4">
        <v>39</v>
      </c>
      <c r="C57" s="4" t="str">
        <f t="shared" si="9"/>
        <v>00110111</v>
      </c>
      <c r="D57" s="28" t="s">
        <v>170</v>
      </c>
      <c r="E57" s="4" t="s">
        <v>169</v>
      </c>
      <c r="F57" s="6" t="s">
        <v>104</v>
      </c>
      <c r="G57" s="7" t="s">
        <v>154</v>
      </c>
      <c r="H57" s="7" t="s">
        <v>71</v>
      </c>
      <c r="I57" s="7" t="s">
        <v>70</v>
      </c>
      <c r="J57" s="7" t="s">
        <v>75</v>
      </c>
      <c r="K57" s="7" t="s">
        <v>74</v>
      </c>
      <c r="L57" s="7" t="s">
        <v>74</v>
      </c>
      <c r="M57" s="7" t="s">
        <v>115</v>
      </c>
      <c r="N57" s="7" t="s">
        <v>148</v>
      </c>
      <c r="O57" s="7" t="s">
        <v>78</v>
      </c>
      <c r="P57" s="7" t="s">
        <v>70</v>
      </c>
      <c r="Q57" s="7" t="s">
        <v>70</v>
      </c>
      <c r="R57" s="7" t="s">
        <v>269</v>
      </c>
      <c r="S57" s="7" t="s">
        <v>70</v>
      </c>
      <c r="T57" s="7" t="s">
        <v>70</v>
      </c>
      <c r="U57" s="7" t="s">
        <v>149</v>
      </c>
      <c r="V57" s="7" t="s">
        <v>256</v>
      </c>
    </row>
    <row r="58" spans="1:22" s="4" customFormat="1" x14ac:dyDescent="0.3">
      <c r="A58" s="4">
        <v>40</v>
      </c>
      <c r="C58" s="4" t="str">
        <f t="shared" si="9"/>
        <v>00111000</v>
      </c>
      <c r="D58" s="28"/>
      <c r="E58" s="4" t="s">
        <v>143</v>
      </c>
      <c r="F58" s="6" t="s">
        <v>104</v>
      </c>
      <c r="G58" s="7" t="s">
        <v>155</v>
      </c>
      <c r="H58" s="7" t="s">
        <v>71</v>
      </c>
      <c r="I58" s="7" t="s">
        <v>70</v>
      </c>
      <c r="J58" s="7" t="s">
        <v>75</v>
      </c>
      <c r="K58" s="7" t="s">
        <v>74</v>
      </c>
      <c r="L58" s="7" t="s">
        <v>74</v>
      </c>
      <c r="M58" s="7" t="s">
        <v>115</v>
      </c>
      <c r="N58" s="7" t="s">
        <v>79</v>
      </c>
      <c r="O58" s="7" t="s">
        <v>150</v>
      </c>
      <c r="P58" s="7" t="s">
        <v>70</v>
      </c>
      <c r="Q58" s="7" t="s">
        <v>70</v>
      </c>
      <c r="R58" s="7" t="s">
        <v>268</v>
      </c>
      <c r="S58" s="7" t="s">
        <v>70</v>
      </c>
      <c r="T58" s="7" t="s">
        <v>70</v>
      </c>
      <c r="U58" s="7" t="s">
        <v>149</v>
      </c>
      <c r="V58" s="7" t="s">
        <v>257</v>
      </c>
    </row>
    <row r="59" spans="1:22" s="4" customFormat="1" x14ac:dyDescent="0.3">
      <c r="A59" s="4">
        <v>41</v>
      </c>
      <c r="C59" s="4" t="str">
        <f t="shared" si="9"/>
        <v>00111001</v>
      </c>
      <c r="D59" s="28"/>
      <c r="E59" s="4" t="s">
        <v>144</v>
      </c>
      <c r="F59" s="6" t="s">
        <v>104</v>
      </c>
      <c r="G59" s="7" t="s">
        <v>156</v>
      </c>
      <c r="H59" s="7" t="s">
        <v>71</v>
      </c>
      <c r="I59" s="7" t="s">
        <v>70</v>
      </c>
      <c r="J59" s="7" t="s">
        <v>75</v>
      </c>
      <c r="K59" s="7" t="s">
        <v>74</v>
      </c>
      <c r="L59" s="7" t="s">
        <v>74</v>
      </c>
      <c r="M59" s="7" t="s">
        <v>115</v>
      </c>
      <c r="N59" s="7" t="s">
        <v>150</v>
      </c>
      <c r="O59" s="7" t="s">
        <v>79</v>
      </c>
      <c r="P59" s="7" t="s">
        <v>70</v>
      </c>
      <c r="Q59" s="7" t="s">
        <v>70</v>
      </c>
      <c r="R59" s="7" t="s">
        <v>267</v>
      </c>
      <c r="S59" s="7" t="s">
        <v>70</v>
      </c>
      <c r="T59" s="7" t="s">
        <v>74</v>
      </c>
      <c r="U59" s="7" t="s">
        <v>117</v>
      </c>
      <c r="V59" s="7" t="s">
        <v>258</v>
      </c>
    </row>
    <row r="60" spans="1:22" s="4" customFormat="1" x14ac:dyDescent="0.3">
      <c r="A60" s="4">
        <v>42</v>
      </c>
      <c r="C60" s="4" t="str">
        <f t="shared" si="9"/>
        <v>00111010</v>
      </c>
      <c r="D60" s="28"/>
      <c r="E60" s="4" t="s">
        <v>145</v>
      </c>
      <c r="F60" s="6" t="s">
        <v>104</v>
      </c>
      <c r="G60" s="7" t="s">
        <v>157</v>
      </c>
      <c r="H60" s="7" t="s">
        <v>71</v>
      </c>
      <c r="I60" s="7" t="s">
        <v>70</v>
      </c>
      <c r="J60" s="7" t="s">
        <v>75</v>
      </c>
      <c r="K60" s="7" t="s">
        <v>74</v>
      </c>
      <c r="L60" s="7" t="s">
        <v>74</v>
      </c>
      <c r="M60" s="7" t="s">
        <v>115</v>
      </c>
      <c r="N60" s="7" t="s">
        <v>150</v>
      </c>
      <c r="O60" s="7" t="s">
        <v>160</v>
      </c>
      <c r="P60" s="7" t="s">
        <v>70</v>
      </c>
      <c r="Q60" s="7" t="s">
        <v>70</v>
      </c>
      <c r="R60" s="7" t="s">
        <v>240</v>
      </c>
      <c r="S60" s="7" t="s">
        <v>74</v>
      </c>
      <c r="T60" s="7" t="s">
        <v>70</v>
      </c>
      <c r="U60" s="7" t="s">
        <v>117</v>
      </c>
      <c r="V60" s="35" t="s">
        <v>259</v>
      </c>
    </row>
    <row r="61" spans="1:22" s="4" customFormat="1" x14ac:dyDescent="0.3">
      <c r="A61" s="4">
        <v>43</v>
      </c>
      <c r="C61" s="4" t="str">
        <f t="shared" si="9"/>
        <v>00111011</v>
      </c>
      <c r="D61" s="28"/>
      <c r="E61" s="4" t="s">
        <v>146</v>
      </c>
      <c r="F61" s="6" t="s">
        <v>104</v>
      </c>
      <c r="G61" s="7" t="s">
        <v>158</v>
      </c>
      <c r="H61" s="7" t="s">
        <v>71</v>
      </c>
      <c r="I61" s="7" t="s">
        <v>70</v>
      </c>
      <c r="J61" s="7" t="s">
        <v>75</v>
      </c>
      <c r="K61" s="7" t="s">
        <v>74</v>
      </c>
      <c r="L61" s="7" t="s">
        <v>74</v>
      </c>
      <c r="M61" s="7" t="s">
        <v>115</v>
      </c>
      <c r="N61" s="7" t="s">
        <v>135</v>
      </c>
      <c r="O61" s="7" t="s">
        <v>92</v>
      </c>
      <c r="P61" s="7" t="s">
        <v>70</v>
      </c>
      <c r="Q61" s="7" t="s">
        <v>70</v>
      </c>
      <c r="R61" s="7" t="s">
        <v>266</v>
      </c>
      <c r="S61" s="7" t="s">
        <v>74</v>
      </c>
      <c r="T61" s="7" t="s">
        <v>70</v>
      </c>
      <c r="U61" s="7" t="s">
        <v>149</v>
      </c>
      <c r="V61" s="7" t="s">
        <v>260</v>
      </c>
    </row>
    <row r="62" spans="1:22" s="4" customFormat="1" x14ac:dyDescent="0.3">
      <c r="A62" s="4">
        <v>44</v>
      </c>
      <c r="C62" s="4" t="str">
        <f t="shared" si="9"/>
        <v>00111100</v>
      </c>
      <c r="D62" s="28"/>
      <c r="E62" s="4" t="s">
        <v>147</v>
      </c>
      <c r="F62" s="6" t="s">
        <v>104</v>
      </c>
      <c r="G62" s="7" t="s">
        <v>159</v>
      </c>
      <c r="H62" s="7" t="s">
        <v>71</v>
      </c>
      <c r="I62" s="7" t="s">
        <v>70</v>
      </c>
      <c r="J62" s="7" t="s">
        <v>75</v>
      </c>
      <c r="K62" s="7" t="s">
        <v>74</v>
      </c>
      <c r="L62" s="7" t="s">
        <v>74</v>
      </c>
      <c r="M62" s="7" t="s">
        <v>115</v>
      </c>
      <c r="N62" s="7" t="s">
        <v>116</v>
      </c>
      <c r="O62" s="7" t="s">
        <v>135</v>
      </c>
      <c r="P62" s="7" t="s">
        <v>70</v>
      </c>
      <c r="Q62" s="7" t="s">
        <v>70</v>
      </c>
      <c r="R62" s="7" t="s">
        <v>265</v>
      </c>
      <c r="S62" s="7" t="s">
        <v>74</v>
      </c>
      <c r="T62" s="7" t="s">
        <v>74</v>
      </c>
      <c r="U62" s="7" t="s">
        <v>117</v>
      </c>
      <c r="V62" s="7" t="s">
        <v>261</v>
      </c>
    </row>
    <row r="63" spans="1:22" s="4" customFormat="1" x14ac:dyDescent="0.3">
      <c r="A63" s="4">
        <v>45</v>
      </c>
      <c r="C63" s="4" t="str">
        <f t="shared" si="9"/>
        <v>00111101</v>
      </c>
      <c r="D63" s="4" t="s">
        <v>295</v>
      </c>
      <c r="E63" s="4" t="s">
        <v>343</v>
      </c>
      <c r="F63" s="6" t="s">
        <v>104</v>
      </c>
      <c r="G63" s="7" t="s">
        <v>162</v>
      </c>
      <c r="H63" s="7" t="s">
        <v>71</v>
      </c>
      <c r="I63" s="7" t="s">
        <v>70</v>
      </c>
      <c r="J63" s="7" t="s">
        <v>75</v>
      </c>
      <c r="K63" s="7" t="s">
        <v>74</v>
      </c>
      <c r="L63" s="7" t="s">
        <v>74</v>
      </c>
      <c r="M63" s="7" t="s">
        <v>76</v>
      </c>
      <c r="N63" s="7" t="s">
        <v>148</v>
      </c>
      <c r="O63" s="7" t="s">
        <v>107</v>
      </c>
      <c r="P63" s="7" t="s">
        <v>70</v>
      </c>
      <c r="Q63" s="7" t="s">
        <v>70</v>
      </c>
      <c r="R63" s="7" t="s">
        <v>108</v>
      </c>
      <c r="S63" s="7" t="s">
        <v>70</v>
      </c>
      <c r="T63" s="7" t="s">
        <v>70</v>
      </c>
      <c r="U63" s="7" t="s">
        <v>72</v>
      </c>
      <c r="V63" s="7" t="s">
        <v>278</v>
      </c>
    </row>
    <row r="64" spans="1:22" s="4" customFormat="1" x14ac:dyDescent="0.3">
      <c r="A64" s="4">
        <v>46</v>
      </c>
      <c r="C64" s="4" t="str">
        <f t="shared" si="9"/>
        <v>00111110</v>
      </c>
      <c r="D64" s="28" t="s">
        <v>52</v>
      </c>
      <c r="E64" s="4" t="s">
        <v>344</v>
      </c>
      <c r="F64" s="6" t="s">
        <v>104</v>
      </c>
      <c r="G64" s="7" t="s">
        <v>163</v>
      </c>
      <c r="H64" s="7" t="s">
        <v>71</v>
      </c>
      <c r="I64" s="7" t="s">
        <v>70</v>
      </c>
      <c r="J64" s="7" t="s">
        <v>75</v>
      </c>
      <c r="K64" s="7" t="s">
        <v>74</v>
      </c>
      <c r="L64" s="7" t="s">
        <v>74</v>
      </c>
      <c r="M64" s="7" t="s">
        <v>172</v>
      </c>
      <c r="N64" s="7" t="s">
        <v>95</v>
      </c>
      <c r="O64" s="7" t="s">
        <v>95</v>
      </c>
      <c r="P64" s="7" t="s">
        <v>70</v>
      </c>
      <c r="Q64" s="7" t="s">
        <v>70</v>
      </c>
      <c r="R64" s="7" t="s">
        <v>220</v>
      </c>
      <c r="S64" s="7" t="s">
        <v>70</v>
      </c>
      <c r="T64" s="7" t="s">
        <v>70</v>
      </c>
      <c r="U64" s="7" t="s">
        <v>72</v>
      </c>
      <c r="V64" s="7" t="s">
        <v>279</v>
      </c>
    </row>
    <row r="65" spans="1:22" s="4" customFormat="1" x14ac:dyDescent="0.3">
      <c r="A65" s="4">
        <v>47</v>
      </c>
      <c r="C65" s="4" t="str">
        <f t="shared" si="9"/>
        <v>00111111</v>
      </c>
      <c r="D65" s="28"/>
      <c r="E65" s="4" t="s">
        <v>345</v>
      </c>
      <c r="F65" s="6" t="s">
        <v>104</v>
      </c>
      <c r="G65" s="7" t="s">
        <v>164</v>
      </c>
      <c r="H65" s="7" t="s">
        <v>71</v>
      </c>
      <c r="I65" s="7" t="s">
        <v>70</v>
      </c>
      <c r="J65" s="7" t="s">
        <v>75</v>
      </c>
      <c r="K65" s="7" t="s">
        <v>74</v>
      </c>
      <c r="L65" s="7" t="s">
        <v>74</v>
      </c>
      <c r="M65" s="7" t="s">
        <v>172</v>
      </c>
      <c r="N65" s="7" t="s">
        <v>95</v>
      </c>
      <c r="O65" s="7" t="s">
        <v>95</v>
      </c>
      <c r="P65" s="7" t="s">
        <v>74</v>
      </c>
      <c r="Q65" s="7" t="s">
        <v>70</v>
      </c>
      <c r="R65" s="7" t="s">
        <v>240</v>
      </c>
      <c r="S65" s="7" t="s">
        <v>74</v>
      </c>
      <c r="T65" s="7" t="s">
        <v>70</v>
      </c>
      <c r="U65" s="7" t="s">
        <v>72</v>
      </c>
      <c r="V65" s="7" t="s">
        <v>280</v>
      </c>
    </row>
    <row r="66" spans="1:22" s="4" customFormat="1" x14ac:dyDescent="0.3">
      <c r="A66" s="4">
        <v>48</v>
      </c>
      <c r="C66" s="4" t="str">
        <f t="shared" si="9"/>
        <v>01000000</v>
      </c>
      <c r="D66" s="4" t="s">
        <v>295</v>
      </c>
      <c r="E66" s="4" t="s">
        <v>346</v>
      </c>
      <c r="F66" s="6" t="s">
        <v>104</v>
      </c>
      <c r="G66" s="7" t="s">
        <v>165</v>
      </c>
      <c r="H66" s="7" t="s">
        <v>71</v>
      </c>
      <c r="I66" s="7" t="s">
        <v>70</v>
      </c>
      <c r="J66" s="7" t="s">
        <v>75</v>
      </c>
      <c r="K66" s="7" t="s">
        <v>74</v>
      </c>
      <c r="L66" s="7" t="s">
        <v>74</v>
      </c>
      <c r="M66" s="7" t="s">
        <v>76</v>
      </c>
      <c r="N66" s="7" t="s">
        <v>176</v>
      </c>
      <c r="O66" s="7" t="s">
        <v>177</v>
      </c>
      <c r="P66" s="7" t="s">
        <v>70</v>
      </c>
      <c r="Q66" s="7" t="s">
        <v>70</v>
      </c>
      <c r="R66" s="7" t="s">
        <v>240</v>
      </c>
      <c r="S66" s="7" t="s">
        <v>70</v>
      </c>
      <c r="T66" s="7" t="s">
        <v>70</v>
      </c>
      <c r="U66" s="7" t="s">
        <v>72</v>
      </c>
      <c r="V66" s="7" t="s">
        <v>281</v>
      </c>
    </row>
    <row r="67" spans="1:22" s="4" customFormat="1" x14ac:dyDescent="0.3">
      <c r="A67" s="4">
        <v>49</v>
      </c>
      <c r="C67" s="4" t="str">
        <f t="shared" si="9"/>
        <v>01000001</v>
      </c>
      <c r="D67" s="4" t="s">
        <v>294</v>
      </c>
      <c r="E67" s="4" t="s">
        <v>347</v>
      </c>
      <c r="F67" s="6" t="s">
        <v>104</v>
      </c>
      <c r="G67" s="7" t="s">
        <v>166</v>
      </c>
      <c r="H67" s="7" t="s">
        <v>71</v>
      </c>
      <c r="I67" s="7" t="s">
        <v>70</v>
      </c>
      <c r="J67" s="7" t="s">
        <v>75</v>
      </c>
      <c r="K67" s="7" t="s">
        <v>74</v>
      </c>
      <c r="L67" s="7" t="s">
        <v>74</v>
      </c>
      <c r="M67" s="7" t="s">
        <v>114</v>
      </c>
      <c r="N67" s="7" t="s">
        <v>95</v>
      </c>
      <c r="O67" s="7" t="s">
        <v>95</v>
      </c>
      <c r="P67" s="7" t="s">
        <v>70</v>
      </c>
      <c r="Q67" s="7" t="s">
        <v>70</v>
      </c>
      <c r="R67" s="7" t="s">
        <v>220</v>
      </c>
      <c r="S67" s="7" t="s">
        <v>70</v>
      </c>
      <c r="T67" s="7" t="s">
        <v>70</v>
      </c>
      <c r="U67" s="7" t="s">
        <v>161</v>
      </c>
      <c r="V67" s="7" t="s">
        <v>282</v>
      </c>
    </row>
    <row r="68" spans="1:22" s="4" customFormat="1" x14ac:dyDescent="0.3">
      <c r="A68" s="4">
        <v>50</v>
      </c>
      <c r="C68" s="4" t="str">
        <f t="shared" si="9"/>
        <v>01000010</v>
      </c>
      <c r="D68" s="4" t="s">
        <v>293</v>
      </c>
      <c r="E68" s="4" t="s">
        <v>347</v>
      </c>
      <c r="F68" s="6" t="s">
        <v>104</v>
      </c>
      <c r="G68" s="7" t="s">
        <v>167</v>
      </c>
      <c r="H68" s="7" t="s">
        <v>71</v>
      </c>
      <c r="I68" s="7" t="s">
        <v>70</v>
      </c>
      <c r="J68" s="7" t="s">
        <v>75</v>
      </c>
      <c r="K68" s="7" t="s">
        <v>74</v>
      </c>
      <c r="L68" s="7" t="s">
        <v>74</v>
      </c>
      <c r="M68" s="7" t="s">
        <v>115</v>
      </c>
      <c r="N68" s="7" t="s">
        <v>95</v>
      </c>
      <c r="O68" s="7" t="s">
        <v>95</v>
      </c>
      <c r="P68" s="7" t="s">
        <v>70</v>
      </c>
      <c r="Q68" s="7" t="s">
        <v>70</v>
      </c>
      <c r="R68" s="7" t="s">
        <v>220</v>
      </c>
      <c r="S68" s="7" t="s">
        <v>70</v>
      </c>
      <c r="T68" s="7" t="s">
        <v>70</v>
      </c>
      <c r="U68" s="7" t="s">
        <v>161</v>
      </c>
      <c r="V68" s="7" t="s">
        <v>283</v>
      </c>
    </row>
    <row r="69" spans="1:22" s="4" customFormat="1" x14ac:dyDescent="0.3">
      <c r="A69" s="4">
        <v>51</v>
      </c>
      <c r="C69" s="4" t="str">
        <f t="shared" si="9"/>
        <v>01000011</v>
      </c>
      <c r="D69" s="28" t="s">
        <v>52</v>
      </c>
      <c r="E69" s="4" t="s">
        <v>348</v>
      </c>
      <c r="F69" s="6" t="s">
        <v>104</v>
      </c>
      <c r="G69" s="7" t="s">
        <v>171</v>
      </c>
      <c r="H69" s="7" t="s">
        <v>71</v>
      </c>
      <c r="I69" s="7" t="s">
        <v>70</v>
      </c>
      <c r="J69" s="7" t="s">
        <v>75</v>
      </c>
      <c r="K69" s="7" t="s">
        <v>74</v>
      </c>
      <c r="L69" s="7" t="s">
        <v>74</v>
      </c>
      <c r="M69" s="7" t="s">
        <v>172</v>
      </c>
      <c r="N69" s="7" t="s">
        <v>95</v>
      </c>
      <c r="O69" s="7" t="s">
        <v>95</v>
      </c>
      <c r="P69" s="7" t="s">
        <v>70</v>
      </c>
      <c r="Q69" s="7" t="s">
        <v>70</v>
      </c>
      <c r="R69" s="7" t="s">
        <v>220</v>
      </c>
      <c r="S69" s="7" t="s">
        <v>70</v>
      </c>
      <c r="T69" s="7" t="s">
        <v>70</v>
      </c>
      <c r="U69" s="7" t="s">
        <v>72</v>
      </c>
      <c r="V69" s="7" t="s">
        <v>262</v>
      </c>
    </row>
    <row r="70" spans="1:22" s="4" customFormat="1" x14ac:dyDescent="0.3">
      <c r="A70" s="4" t="s">
        <v>339</v>
      </c>
      <c r="C70" s="4" t="s">
        <v>173</v>
      </c>
      <c r="D70" s="28"/>
      <c r="E70" s="4" t="s">
        <v>348</v>
      </c>
      <c r="F70" s="6" t="s">
        <v>104</v>
      </c>
      <c r="G70" s="7" t="s">
        <v>173</v>
      </c>
      <c r="H70" s="7" t="s">
        <v>71</v>
      </c>
      <c r="I70" s="7" t="s">
        <v>70</v>
      </c>
      <c r="J70" s="7" t="s">
        <v>75</v>
      </c>
      <c r="K70" s="7" t="s">
        <v>74</v>
      </c>
      <c r="L70" s="7" t="s">
        <v>74</v>
      </c>
      <c r="M70" s="7" t="s">
        <v>172</v>
      </c>
      <c r="N70" s="7" t="s">
        <v>95</v>
      </c>
      <c r="O70" s="7" t="s">
        <v>95</v>
      </c>
      <c r="P70" s="7" t="s">
        <v>74</v>
      </c>
      <c r="Q70" s="7" t="s">
        <v>70</v>
      </c>
      <c r="R70" s="7" t="s">
        <v>240</v>
      </c>
      <c r="S70" s="7" t="s">
        <v>74</v>
      </c>
      <c r="T70" s="7" t="s">
        <v>70</v>
      </c>
      <c r="U70" s="7" t="s">
        <v>72</v>
      </c>
      <c r="V70" s="7" t="s">
        <v>263</v>
      </c>
    </row>
    <row r="71" spans="1:22" s="4" customFormat="1" x14ac:dyDescent="0.3">
      <c r="A71" s="4" t="s">
        <v>340</v>
      </c>
      <c r="C71" s="4" t="s">
        <v>174</v>
      </c>
      <c r="D71" s="27" t="s">
        <v>293</v>
      </c>
      <c r="E71" s="4" t="s">
        <v>349</v>
      </c>
      <c r="F71" s="6" t="s">
        <v>104</v>
      </c>
      <c r="G71" s="7" t="s">
        <v>174</v>
      </c>
      <c r="H71" s="7" t="s">
        <v>71</v>
      </c>
      <c r="I71" s="7" t="s">
        <v>70</v>
      </c>
      <c r="J71" s="7" t="s">
        <v>75</v>
      </c>
      <c r="K71" s="7" t="s">
        <v>74</v>
      </c>
      <c r="L71" s="7" t="s">
        <v>74</v>
      </c>
      <c r="M71" s="7" t="s">
        <v>115</v>
      </c>
      <c r="N71" s="7" t="s">
        <v>116</v>
      </c>
      <c r="O71" s="7" t="s">
        <v>95</v>
      </c>
      <c r="P71" s="7" t="s">
        <v>70</v>
      </c>
      <c r="Q71" s="7" t="s">
        <v>70</v>
      </c>
      <c r="R71" s="7" t="s">
        <v>264</v>
      </c>
      <c r="S71" s="7" t="s">
        <v>70</v>
      </c>
      <c r="T71" s="7" t="s">
        <v>74</v>
      </c>
      <c r="U71" s="7" t="s">
        <v>117</v>
      </c>
      <c r="V71" s="7" t="s">
        <v>277</v>
      </c>
    </row>
    <row r="72" spans="1:22" s="4" customFormat="1" x14ac:dyDescent="0.3">
      <c r="A72" s="4" t="s">
        <v>341</v>
      </c>
      <c r="C72" s="4" t="s">
        <v>175</v>
      </c>
      <c r="D72" s="27"/>
      <c r="E72" s="4" t="s">
        <v>349</v>
      </c>
      <c r="F72" s="6" t="s">
        <v>104</v>
      </c>
      <c r="G72" s="7" t="s">
        <v>175</v>
      </c>
      <c r="H72" s="7" t="s">
        <v>71</v>
      </c>
      <c r="I72" s="7" t="s">
        <v>70</v>
      </c>
      <c r="J72" s="7" t="s">
        <v>75</v>
      </c>
      <c r="K72" s="7" t="s">
        <v>74</v>
      </c>
      <c r="L72" s="7" t="s">
        <v>74</v>
      </c>
      <c r="M72" s="7" t="s">
        <v>115</v>
      </c>
      <c r="N72" s="7" t="s">
        <v>95</v>
      </c>
      <c r="O72" s="7" t="s">
        <v>95</v>
      </c>
      <c r="P72" s="7" t="s">
        <v>70</v>
      </c>
      <c r="Q72" s="7" t="s">
        <v>70</v>
      </c>
      <c r="R72" s="7" t="s">
        <v>220</v>
      </c>
      <c r="S72" s="7" t="s">
        <v>70</v>
      </c>
      <c r="T72" s="7" t="s">
        <v>70</v>
      </c>
      <c r="U72" s="7" t="s">
        <v>161</v>
      </c>
      <c r="V72" s="7" t="s">
        <v>276</v>
      </c>
    </row>
    <row r="73" spans="1:22" s="4" customFormat="1" x14ac:dyDescent="0.3">
      <c r="A73" s="4" t="s">
        <v>342</v>
      </c>
      <c r="C73" s="4" t="s">
        <v>274</v>
      </c>
      <c r="D73" s="27"/>
      <c r="E73" s="4" t="s">
        <v>349</v>
      </c>
      <c r="F73" s="6" t="s">
        <v>104</v>
      </c>
      <c r="G73" s="7" t="s">
        <v>274</v>
      </c>
      <c r="H73" s="7" t="s">
        <v>71</v>
      </c>
      <c r="I73" s="7" t="s">
        <v>70</v>
      </c>
      <c r="J73" s="7" t="s">
        <v>75</v>
      </c>
      <c r="K73" s="7" t="s">
        <v>74</v>
      </c>
      <c r="L73" s="7" t="s">
        <v>74</v>
      </c>
      <c r="M73" s="7" t="s">
        <v>115</v>
      </c>
      <c r="N73" s="7" t="s">
        <v>165</v>
      </c>
      <c r="O73" s="7" t="s">
        <v>166</v>
      </c>
      <c r="P73" s="7" t="s">
        <v>70</v>
      </c>
      <c r="Q73" s="7" t="s">
        <v>70</v>
      </c>
      <c r="R73" s="7" t="s">
        <v>240</v>
      </c>
      <c r="S73" s="7" t="s">
        <v>70</v>
      </c>
      <c r="T73" s="7" t="s">
        <v>74</v>
      </c>
      <c r="U73" s="7" t="s">
        <v>117</v>
      </c>
      <c r="V73" s="7" t="s">
        <v>275</v>
      </c>
    </row>
    <row r="74" spans="1:22" s="33" customFormat="1" x14ac:dyDescent="0.3"/>
    <row r="75" spans="1:22" s="4" customFormat="1" x14ac:dyDescent="0.3"/>
  </sheetData>
  <mergeCells count="21">
    <mergeCell ref="Q2:U2"/>
    <mergeCell ref="V2:V3"/>
    <mergeCell ref="D20:D21"/>
    <mergeCell ref="E20:E21"/>
    <mergeCell ref="D22:D23"/>
    <mergeCell ref="E22:E23"/>
    <mergeCell ref="G2:P2"/>
    <mergeCell ref="F2:F3"/>
    <mergeCell ref="E2:E3"/>
    <mergeCell ref="D2:D3"/>
    <mergeCell ref="D32:D34"/>
    <mergeCell ref="D71:D73"/>
    <mergeCell ref="D57:D62"/>
    <mergeCell ref="D51:D56"/>
    <mergeCell ref="D69:D70"/>
    <mergeCell ref="D64:D65"/>
    <mergeCell ref="C2:C3"/>
    <mergeCell ref="D24:D25"/>
    <mergeCell ref="E24:E25"/>
    <mergeCell ref="D26:D27"/>
    <mergeCell ref="E26:E2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Packet description</vt:lpstr>
      <vt:lpstr>Packet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Nihal N S</dc:creator>
  <cp:lastModifiedBy>Nihal N S</cp:lastModifiedBy>
  <dcterms:created xsi:type="dcterms:W3CDTF">2025-05-27T14:55:37Z</dcterms:created>
  <dcterms:modified xsi:type="dcterms:W3CDTF">2025-06-08T12:11:22Z</dcterms:modified>
</cp:coreProperties>
</file>